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7610" tabRatio="600" firstSheet="0" activeTab="0" autoFilterDateGrouping="1"/>
  </bookViews>
  <sheets>
    <sheet xmlns:r="http://schemas.openxmlformats.org/officeDocument/2006/relationships" name="Новый шаблон ЖР" sheetId="1" state="visible" r:id="rId1"/>
    <sheet xmlns:r="http://schemas.openxmlformats.org/officeDocument/2006/relationships" name="Старый шаблон ЖР" sheetId="2" state="visible" r:id="rId2"/>
    <sheet xmlns:r="http://schemas.openxmlformats.org/officeDocument/2006/relationships" name="Поля Отбора" sheetId="3" state="visible" r:id="rId3"/>
    <sheet xmlns:r="http://schemas.openxmlformats.org/officeDocument/2006/relationships" name="События и соответствие" sheetId="4" state="visible" r:id="rId4"/>
    <sheet xmlns:r="http://schemas.openxmlformats.org/officeDocument/2006/relationships" name="Клиенты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rgb="FF006100"/>
      <sz val="11"/>
      <scheme val="minor"/>
    </font>
    <font>
      <name val="Courier New"/>
      <charset val="204"/>
      <family val="3"/>
      <color rgb="FF000000"/>
      <sz val="10"/>
    </font>
    <font>
      <name val="Courier New"/>
      <charset val="204"/>
      <family val="3"/>
      <b val="1"/>
      <color rgb="FF008000"/>
      <sz val="10"/>
    </font>
    <font>
      <name val="Calibri"/>
      <charset val="204"/>
      <family val="2"/>
      <b val="1"/>
      <color rgb="FF3F3F3F"/>
      <sz val="11"/>
      <scheme val="minor"/>
    </font>
    <font>
      <name val="Calibri"/>
      <charset val="204"/>
      <family val="2"/>
      <color theme="0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</fonts>
  <fills count="10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9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1" fillId="0" borderId="0"/>
    <xf numFmtId="0" fontId="2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5" fillId="7" borderId="2"/>
    <xf numFmtId="0" fontId="6" fillId="9" borderId="0"/>
  </cellStyleXfs>
  <cellXfs count="49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2" fillId="2" borderId="1" pivotButton="0" quotePrefix="0" xfId="1"/>
    <xf numFmtId="0" fontId="2" fillId="2" borderId="1" applyAlignment="1" pivotButton="0" quotePrefix="0" xfId="1">
      <alignment wrapText="1"/>
    </xf>
    <xf numFmtId="0" fontId="1" fillId="3" borderId="1" pivotButton="0" quotePrefix="0" xfId="2"/>
    <xf numFmtId="0" fontId="1" fillId="3" borderId="1" applyAlignment="1" pivotButton="0" quotePrefix="0" xfId="2">
      <alignment wrapText="1"/>
    </xf>
    <xf numFmtId="0" fontId="2" fillId="2" borderId="1" pivotButton="0" quotePrefix="1" xfId="1"/>
    <xf numFmtId="0" fontId="1" fillId="4" borderId="1" pivotButton="0" quotePrefix="1" xfId="3"/>
    <xf numFmtId="0" fontId="1" fillId="4" borderId="1" pivotButton="0" quotePrefix="0" xfId="3"/>
    <xf numFmtId="0" fontId="1" fillId="4" borderId="1" applyAlignment="1" pivotButton="0" quotePrefix="0" xfId="3">
      <alignment wrapText="1"/>
    </xf>
    <xf numFmtId="0" fontId="1" fillId="6" borderId="1" pivotButton="0" quotePrefix="1" xfId="5"/>
    <xf numFmtId="0" fontId="1" fillId="6" borderId="1" pivotButton="0" quotePrefix="0" xfId="5"/>
    <xf numFmtId="0" fontId="1" fillId="6" borderId="1" applyAlignment="1" pivotButton="0" quotePrefix="0" xfId="5">
      <alignment wrapText="1"/>
    </xf>
    <xf numFmtId="0" fontId="1" fillId="5" borderId="1" pivotButton="0" quotePrefix="1" xfId="4"/>
    <xf numFmtId="0" fontId="1" fillId="5" borderId="1" pivotButton="0" quotePrefix="0" xfId="4"/>
    <xf numFmtId="0" fontId="1" fillId="5" borderId="1" applyAlignment="1" pivotButton="0" quotePrefix="0" xfId="4">
      <alignment wrapText="1"/>
    </xf>
    <xf numFmtId="0" fontId="0" fillId="0" borderId="1" pivotButton="0" quotePrefix="1" xfId="0"/>
    <xf numFmtId="0" fontId="0" fillId="0" borderId="1" applyAlignment="1" pivotButton="0" quotePrefix="1" xfId="0">
      <alignment wrapText="1"/>
    </xf>
    <xf numFmtId="0" fontId="0" fillId="3" borderId="1" pivotButton="0" quotePrefix="1" xfId="2"/>
    <xf numFmtId="0" fontId="0" fillId="4" borderId="1" pivotButton="0" quotePrefix="1" xfId="3"/>
    <xf numFmtId="0" fontId="0" fillId="6" borderId="1" pivotButton="0" quotePrefix="1" xfId="5"/>
    <xf numFmtId="0" fontId="0" fillId="5" borderId="1" pivotButton="0" quotePrefix="1" xfId="4"/>
    <xf numFmtId="0" fontId="0" fillId="5" borderId="1" pivotButton="0" quotePrefix="0" xfId="4"/>
    <xf numFmtId="22" fontId="0" fillId="0" borderId="0" pivotButton="0" quotePrefix="1" xfId="0"/>
    <xf numFmtId="0" fontId="0" fillId="0" borderId="0" pivotButton="0" quotePrefix="1" xfId="0"/>
    <xf numFmtId="0" fontId="4" fillId="0" borderId="0" applyAlignment="1" pivotButton="0" quotePrefix="1" xfId="0">
      <alignment vertical="center"/>
    </xf>
    <xf numFmtId="0" fontId="5" fillId="7" borderId="2" pivotButton="0" quotePrefix="0" xfId="6"/>
    <xf numFmtId="0" fontId="1" fillId="6" borderId="3" pivotButton="0" quotePrefix="0" xfId="5"/>
    <xf numFmtId="0" fontId="0" fillId="0" borderId="0" applyAlignment="1" pivotButton="0" quotePrefix="1" xfId="0">
      <alignment wrapText="1"/>
    </xf>
    <xf numFmtId="0" fontId="0" fillId="5" borderId="1" applyAlignment="1" pivotButton="0" quotePrefix="0" xfId="4">
      <alignment wrapText="1"/>
    </xf>
    <xf numFmtId="0" fontId="6" fillId="9" borderId="1" pivotButton="0" quotePrefix="0" xfId="7"/>
    <xf numFmtId="0" fontId="6" fillId="9" borderId="1" applyAlignment="1" pivotButton="0" quotePrefix="0" xfId="7">
      <alignment wrapText="1"/>
    </xf>
    <xf numFmtId="0" fontId="0" fillId="8" borderId="0" pivotButton="0" quotePrefix="0" xfId="0"/>
    <xf numFmtId="0" fontId="0" fillId="6" borderId="1" pivotButton="0" quotePrefix="0" xfId="5"/>
    <xf numFmtId="0" fontId="0" fillId="8" borderId="1" pivotButton="0" quotePrefix="0" xfId="0"/>
    <xf numFmtId="0" fontId="0" fillId="8" borderId="1" pivotButton="0" quotePrefix="1" xfId="4"/>
    <xf numFmtId="0" fontId="0" fillId="8" borderId="1" applyAlignment="1" pivotButton="0" quotePrefix="0" xfId="0">
      <alignment wrapText="1"/>
    </xf>
    <xf numFmtId="0" fontId="0" fillId="8" borderId="1" pivotButton="0" quotePrefix="0" xfId="4"/>
    <xf numFmtId="0" fontId="0" fillId="0" borderId="4" pivotButton="0" quotePrefix="0" xfId="0"/>
    <xf numFmtId="0" fontId="0" fillId="0" borderId="4" applyAlignment="1" pivotButton="0" quotePrefix="0" xfId="0">
      <alignment wrapText="1"/>
    </xf>
    <xf numFmtId="0" fontId="0" fillId="0" borderId="3" pivotButton="0" quotePrefix="0" xfId="0"/>
    <xf numFmtId="0" fontId="0" fillId="0" borderId="0" applyAlignment="1" pivotButton="0" quotePrefix="1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8" borderId="0" pivotButton="0" quotePrefix="1" xfId="4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</cellXfs>
  <cellStyles count="8">
    <cellStyle name="Обычный" xfId="0" builtinId="0"/>
    <cellStyle name="Хороший" xfId="1" builtinId="26"/>
    <cellStyle name="40% — акцент1" xfId="2" builtinId="31"/>
    <cellStyle name="40% — акцент2" xfId="3" builtinId="35"/>
    <cellStyle name="40% — акцент4" xfId="4" builtinId="43"/>
    <cellStyle name="40% — акцент6" xfId="5" builtinId="51"/>
    <cellStyle name="Вывод" xfId="6" builtinId="21"/>
    <cellStyle name="Акцент6" xfId="7" builtin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me</author>
  </authors>
  <commentList>
    <comment ref="G26" authorId="0" shapeId="0">
      <text>
        <t>me:
в solr будет отправляться вычисленное значение области данных</t>
      </text>
    </comment>
    <comment ref="G28" authorId="0" shapeId="0">
      <text>
        <t>me:
в solr будет отправляться вычисленное значение области данных</t>
      </text>
    </comment>
  </commentList>
</comment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tabSelected="1" topLeftCell="A10" workbookViewId="0">
      <selection activeCell="G26" sqref="G26:G27"/>
    </sheetView>
  </sheetViews>
  <sheetFormatPr baseColWidth="8" defaultRowHeight="15"/>
  <cols>
    <col width="24.5703125" customWidth="1" style="44" min="1" max="1"/>
    <col width="8.5703125" bestFit="1" customWidth="1" style="44" min="2" max="2"/>
    <col width="17" customWidth="1" style="44" min="3" max="3"/>
    <col width="15" bestFit="1" customWidth="1" style="44" min="4" max="4"/>
    <col width="32.28515625" customWidth="1" style="44" min="5" max="5"/>
    <col width="30.7109375" customWidth="1" style="44" min="6" max="6"/>
    <col width="7" bestFit="1" customWidth="1" style="44" min="7" max="7"/>
    <col width="112.28515625" customWidth="1" style="47" min="8" max="8"/>
    <col width="12.42578125" bestFit="1" customWidth="1" style="44" min="9" max="9"/>
  </cols>
  <sheetData>
    <row r="1">
      <c r="A1" s="2" t="n"/>
      <c r="B1" s="2" t="n"/>
      <c r="C1" s="2" t="n"/>
      <c r="D1" s="2" t="n"/>
      <c r="E1" s="2" t="inlineStr">
        <is>
          <t>\,*\r*\n*</t>
        </is>
      </c>
      <c r="F1" s="2">
        <f>E1</f>
        <v/>
      </c>
      <c r="G1" s="2" t="n"/>
      <c r="H1" s="3" t="inlineStr">
        <is>
          <t>Это для точного склеивания результируюго файла, когда граница блока начинается с запятой</t>
        </is>
      </c>
      <c r="I1" s="2" t="inlineStr">
        <is>
          <t>Тип Solr</t>
        </is>
      </c>
    </row>
    <row r="2">
      <c r="A2" s="13" t="inlineStr">
        <is>
          <t>{20171121074156</t>
        </is>
      </c>
      <c r="B2" s="13" t="inlineStr">
        <is>
          <t>\{</t>
        </is>
      </c>
      <c r="C2" s="13" t="inlineStr">
        <is>
          <t>\d{14}</t>
        </is>
      </c>
      <c r="D2" s="13" t="n"/>
      <c r="E2" s="13">
        <f>B2&amp;"("&amp;C2&amp;")"&amp;D2</f>
        <v/>
      </c>
      <c r="F2" s="13">
        <f>B2&amp;C2&amp;D2</f>
        <v/>
      </c>
      <c r="G2" s="13" t="inlineStr">
        <is>
          <t>date</t>
        </is>
      </c>
      <c r="H2" s="13" t="inlineStr">
        <is>
          <t>Дата и время в формате "yyyyMMddHHmmss"</t>
        </is>
      </c>
      <c r="I2" s="13" t="inlineStr">
        <is>
          <t>plong</t>
        </is>
      </c>
    </row>
    <row r="3" ht="30" customHeight="1" s="44">
      <c r="A3" s="4" t="inlineStr">
        <is>
          <t>,N</t>
        </is>
      </c>
      <c r="B3" s="4" t="inlineStr">
        <is>
          <t>,</t>
        </is>
      </c>
      <c r="C3" s="4" t="inlineStr">
        <is>
          <t>\w</t>
        </is>
      </c>
      <c r="D3" s="4" t="n"/>
      <c r="E3" s="4">
        <f>B3&amp;"("&amp;C3&amp;")"&amp;D3</f>
        <v/>
      </c>
      <c r="F3" s="4">
        <f>B3&amp;C3&amp;D3</f>
        <v/>
      </c>
      <c r="G3" s="4" t="inlineStr">
        <is>
          <t>t_status</t>
        </is>
      </c>
      <c r="H3" s="5" t="inlineStr">
        <is>
          <t>Статус транзакции – может принимать четыре значения "N" – "Отсутствует", "U" – "Зафиксирована", "R" – "Не завершена" и "C" – "Отменена"</t>
        </is>
      </c>
      <c r="I3" s="4" t="inlineStr">
        <is>
          <t>string</t>
        </is>
      </c>
    </row>
    <row r="4">
      <c r="A4" s="13" t="inlineStr">
        <is>
          <t>,
{0,0}</t>
        </is>
      </c>
      <c r="B4" s="13" t="inlineStr">
        <is>
          <t>,\r*\n\{</t>
        </is>
      </c>
      <c r="C4" s="13" t="inlineStr">
        <is>
          <t>[0-9a-f]+</t>
        </is>
      </c>
      <c r="D4" s="13" t="n"/>
      <c r="E4" s="13">
        <f>B4&amp;"("&amp;C4&amp;")"&amp;D4</f>
        <v/>
      </c>
      <c r="F4" s="13">
        <f>B4&amp;C4&amp;D4</f>
        <v/>
      </c>
      <c r="G4" s="13" t="inlineStr">
        <is>
          <t>t_id</t>
        </is>
      </c>
      <c r="H4" s="35" t="inlineStr">
        <is>
          <t>Транзакция в формате записи из двух элементов преобразованных в шестнадцатеричное число – первый – число секунд с 01.01.0001 00:00:00 умноженное на 10000</t>
        </is>
      </c>
      <c r="I4" s="13" t="inlineStr">
        <is>
          <t>plong</t>
        </is>
      </c>
    </row>
    <row r="5">
      <c r="A5" s="13" t="n"/>
      <c r="B5" s="13" t="inlineStr">
        <is>
          <t>,</t>
        </is>
      </c>
      <c r="C5" s="13" t="inlineStr">
        <is>
          <t>[0-9a-f]+</t>
        </is>
      </c>
      <c r="D5" s="13" t="inlineStr">
        <is>
          <t>\}</t>
        </is>
      </c>
      <c r="E5" s="13">
        <f>B5&amp;"("&amp;C5&amp;")"&amp;D5</f>
        <v/>
      </c>
      <c r="F5" s="13">
        <f>B5&amp;C5&amp;D5</f>
        <v/>
      </c>
      <c r="G5" s="13" t="inlineStr">
        <is>
          <t>t_pos</t>
        </is>
      </c>
      <c r="H5" s="13" t="inlineStr">
        <is>
          <t>второй – номер транзакции</t>
        </is>
      </c>
      <c r="I5" s="13" t="inlineStr">
        <is>
          <t>plong</t>
        </is>
      </c>
    </row>
    <row r="6">
      <c r="A6" s="13" t="inlineStr">
        <is>
          <t>,235</t>
        </is>
      </c>
      <c r="B6" s="13" t="inlineStr">
        <is>
          <t>,</t>
        </is>
      </c>
      <c r="C6" s="13" t="inlineStr">
        <is>
          <t>\d+</t>
        </is>
      </c>
      <c r="D6" s="13" t="n"/>
      <c r="E6" s="13">
        <f>B6&amp;"("&amp;C6&amp;")"&amp;D6</f>
        <v/>
      </c>
      <c r="F6" s="13">
        <f>B6&amp;C6&amp;D6</f>
        <v/>
      </c>
      <c r="G6" s="13" t="inlineStr">
        <is>
          <t>user_id</t>
        </is>
      </c>
      <c r="H6" s="13" t="inlineStr">
        <is>
          <t>Пользователь – указывается номер в массиве пользователей</t>
        </is>
      </c>
      <c r="I6" s="13" t="inlineStr">
        <is>
          <t>int</t>
        </is>
      </c>
    </row>
    <row r="7">
      <c r="A7" s="13" t="inlineStr">
        <is>
          <t>,22</t>
        </is>
      </c>
      <c r="B7" s="13" t="inlineStr">
        <is>
          <t>,</t>
        </is>
      </c>
      <c r="C7" s="13" t="inlineStr">
        <is>
          <t>\d+</t>
        </is>
      </c>
      <c r="D7" s="13" t="n"/>
      <c r="E7" s="13">
        <f>B7&amp;"("&amp;C7&amp;")"&amp;D7</f>
        <v/>
      </c>
      <c r="F7" s="13">
        <f>B7&amp;C7&amp;D7</f>
        <v/>
      </c>
      <c r="G7" s="13" t="inlineStr">
        <is>
          <t>comp_id</t>
        </is>
      </c>
      <c r="H7" s="13" t="inlineStr">
        <is>
          <t>Компьютер – указывается номер в массиве компьютеров</t>
        </is>
      </c>
      <c r="I7" s="13" t="inlineStr">
        <is>
          <t>int</t>
        </is>
      </c>
    </row>
    <row r="8">
      <c r="A8" s="13" t="inlineStr">
        <is>
          <t>,1</t>
        </is>
      </c>
      <c r="B8" s="13" t="inlineStr">
        <is>
          <t>,</t>
        </is>
      </c>
      <c r="C8" s="13" t="inlineStr">
        <is>
          <t>\d+</t>
        </is>
      </c>
      <c r="D8" s="13" t="n"/>
      <c r="E8" s="13">
        <f>B8&amp;"("&amp;C8&amp;")"&amp;D8</f>
        <v/>
      </c>
      <c r="F8" s="13">
        <f>B8&amp;C8&amp;D8</f>
        <v/>
      </c>
      <c r="G8" s="13" t="inlineStr">
        <is>
          <t>app_id</t>
        </is>
      </c>
      <c r="H8" s="13" t="inlineStr">
        <is>
          <t>Приложение – указывается номер в массиве приложений</t>
        </is>
      </c>
      <c r="I8" s="13" t="inlineStr">
        <is>
          <t>int</t>
        </is>
      </c>
    </row>
    <row r="9">
      <c r="A9" s="22" t="inlineStr">
        <is>
          <t>,250462</t>
        </is>
      </c>
      <c r="B9" s="12" t="inlineStr">
        <is>
          <t>,</t>
        </is>
      </c>
      <c r="C9" s="12" t="inlineStr">
        <is>
          <t>\d+</t>
        </is>
      </c>
      <c r="D9" s="12" t="n"/>
      <c r="E9" s="13">
        <f>B9&amp;"("&amp;C9&amp;")"&amp;D9</f>
        <v/>
      </c>
      <c r="F9" s="13">
        <f>B9&amp;C9&amp;D9</f>
        <v/>
      </c>
      <c r="G9" s="13" t="inlineStr">
        <is>
          <t>conn_id</t>
        </is>
      </c>
      <c r="H9" s="14" t="inlineStr">
        <is>
          <t>Соединение – номер соединения</t>
        </is>
      </c>
      <c r="I9" s="13" t="inlineStr">
        <is>
          <t>int</t>
        </is>
      </c>
    </row>
    <row r="10">
      <c r="A10" s="13" t="inlineStr">
        <is>
          <t>,7</t>
        </is>
      </c>
      <c r="B10" s="13" t="inlineStr">
        <is>
          <t>,</t>
        </is>
      </c>
      <c r="C10" s="13" t="inlineStr">
        <is>
          <t>\d+</t>
        </is>
      </c>
      <c r="D10" s="13" t="n"/>
      <c r="E10" s="13">
        <f>B10&amp;"("&amp;C10&amp;")"&amp;D10</f>
        <v/>
      </c>
      <c r="F10" s="13">
        <f>B10&amp;C10&amp;D10</f>
        <v/>
      </c>
      <c r="G10" s="13" t="inlineStr">
        <is>
          <t>event_id</t>
        </is>
      </c>
      <c r="H10" s="13" t="inlineStr">
        <is>
          <t>Событие – указывается номер в массиве событий</t>
        </is>
      </c>
      <c r="I10" s="13" t="inlineStr">
        <is>
          <t>int</t>
        </is>
      </c>
    </row>
    <row r="11" ht="30" customHeight="1" s="44">
      <c r="A11" s="8" t="inlineStr">
        <is>
          <t>,I</t>
        </is>
      </c>
      <c r="B11" s="4" t="inlineStr">
        <is>
          <t>,</t>
        </is>
      </c>
      <c r="C11" s="4" t="inlineStr">
        <is>
          <t>\w</t>
        </is>
      </c>
      <c r="D11" s="8" t="n"/>
      <c r="E11" s="4">
        <f>B11&amp;"("&amp;C11&amp;")"&amp;D11</f>
        <v/>
      </c>
      <c r="F11" s="4">
        <f>B11&amp;C11&amp;D11</f>
        <v/>
      </c>
      <c r="G11" s="4" t="inlineStr">
        <is>
          <t>severity</t>
        </is>
      </c>
      <c r="H11" s="5" t="inlineStr">
        <is>
          <t>Важность – может принимать четыре значения – "I" – "Информация", "E" – "Ошибки", "W" – "Предупреждения" и "N" – "Примечания"</t>
        </is>
      </c>
      <c r="I11" s="4" t="inlineStr">
        <is>
          <t>string</t>
        </is>
      </c>
    </row>
    <row r="12">
      <c r="A12" s="15" t="inlineStr">
        <is>
          <t>,""</t>
        </is>
      </c>
      <c r="B12" s="15" t="inlineStr">
        <is>
          <t>,"</t>
        </is>
      </c>
      <c r="C12" s="15" t="n"/>
      <c r="D12" s="15" t="inlineStr">
        <is>
          <t>(?=",\d+,\r*\n)"</t>
        </is>
      </c>
      <c r="E12" s="16">
        <f>B12&amp;"("&amp;E36&amp;")"&amp;D12</f>
        <v/>
      </c>
      <c r="F12" s="16">
        <f>B12&amp;E36&amp;D12</f>
        <v/>
      </c>
      <c r="G12" s="16" t="inlineStr">
        <is>
          <t>comment_raw</t>
        </is>
      </c>
      <c r="H12" s="17" t="inlineStr">
        <is>
          <t>Комментарий – любой текст в кавычках</t>
        </is>
      </c>
      <c r="I12" s="16" t="inlineStr">
        <is>
          <t>text_simple</t>
        </is>
      </c>
    </row>
    <row r="13">
      <c r="A13" s="13" t="inlineStr">
        <is>
          <t>,0</t>
        </is>
      </c>
      <c r="B13" s="13" t="inlineStr">
        <is>
          <t>,</t>
        </is>
      </c>
      <c r="C13" s="13" t="inlineStr">
        <is>
          <t>\d+</t>
        </is>
      </c>
      <c r="D13" s="13" t="n"/>
      <c r="E13" s="13">
        <f>B13&amp;"("&amp;C13&amp;")"&amp;D13</f>
        <v/>
      </c>
      <c r="F13" s="13">
        <f>B13&amp;C13&amp;D13</f>
        <v/>
      </c>
      <c r="G13" s="13" t="inlineStr">
        <is>
          <t>meta_id</t>
        </is>
      </c>
      <c r="H13" s="13" t="inlineStr">
        <is>
          <t>Метаданные – указывается номер в массиве метаданных</t>
        </is>
      </c>
      <c r="I13" s="13" t="inlineStr">
        <is>
          <t>int</t>
        </is>
      </c>
    </row>
    <row r="14" ht="90" customHeight="1" s="44">
      <c r="A14" s="31" t="inlineStr">
        <is>
          <t>{"P",
{6,
{"S","Чтение"},
{"U"}
}
}</t>
        </is>
      </c>
      <c r="B14" s="31" t="inlineStr">
        <is>
          <t>,\r*\n\{</t>
        </is>
      </c>
      <c r="C14" s="31" t="n"/>
      <c r="D14" s="31" t="inlineStr">
        <is>
          <t>(?=\},")</t>
        </is>
      </c>
      <c r="E14" s="23">
        <f>B14&amp;"("&amp;E36&amp;")"&amp;D14</f>
        <v/>
      </c>
      <c r="F14" s="23">
        <f>B14&amp;E36&amp;D14</f>
        <v/>
      </c>
      <c r="G14" s="16" t="inlineStr">
        <is>
          <t>data_raw</t>
        </is>
      </c>
      <c r="H14" s="17" t="inlineStr">
        <is>
          <t>Данные – самый хитрый элемент, содержащий вложенную запись</t>
        </is>
      </c>
      <c r="I14" s="16" t="inlineStr">
        <is>
          <t>text_simple</t>
        </is>
      </c>
    </row>
    <row r="15">
      <c r="A15" s="16" t="inlineStr">
        <is>
          <t>,""</t>
        </is>
      </c>
      <c r="B15" s="16" t="inlineStr">
        <is>
          <t>\},"</t>
        </is>
      </c>
      <c r="C15" s="16" t="n"/>
      <c r="D15" s="16" t="inlineStr">
        <is>
          <t>(?=",\d+)"</t>
        </is>
      </c>
      <c r="E15" s="16">
        <f>B15&amp;"("&amp;E36&amp;")"&amp;D15</f>
        <v/>
      </c>
      <c r="F15" s="16">
        <f>B15&amp;E36&amp;D15</f>
        <v/>
      </c>
      <c r="G15" s="16" t="inlineStr">
        <is>
          <t>data_pres_raw</t>
        </is>
      </c>
      <c r="H15" s="16" t="inlineStr">
        <is>
          <t>Представление данных – текст в кавычках</t>
        </is>
      </c>
      <c r="I15" s="16" t="inlineStr">
        <is>
          <t>text_simple</t>
        </is>
      </c>
    </row>
    <row r="16">
      <c r="A16" s="8" t="inlineStr">
        <is>
          <t>,3</t>
        </is>
      </c>
      <c r="B16" s="8" t="inlineStr">
        <is>
          <t>,</t>
        </is>
      </c>
      <c r="C16" s="13" t="inlineStr">
        <is>
          <t>\d+</t>
        </is>
      </c>
      <c r="D16" s="13" t="n"/>
      <c r="E16" s="13">
        <f>B16&amp;"("&amp;C16&amp;")"&amp;D16</f>
        <v/>
      </c>
      <c r="F16" s="13">
        <f>B16&amp;C16&amp;D16</f>
        <v/>
      </c>
      <c r="G16" s="13" t="inlineStr">
        <is>
          <t>server_id</t>
        </is>
      </c>
      <c r="H16" s="13" t="inlineStr">
        <is>
          <t>Сервер – указывается номер в массиве серверов</t>
        </is>
      </c>
      <c r="I16" s="13" t="inlineStr">
        <is>
          <t>int</t>
        </is>
      </c>
    </row>
    <row r="17">
      <c r="A17" s="22" t="inlineStr">
        <is>
          <t>,12</t>
        </is>
      </c>
      <c r="B17" s="12" t="inlineStr">
        <is>
          <t>,</t>
        </is>
      </c>
      <c r="C17" s="12" t="inlineStr">
        <is>
          <t>\d+</t>
        </is>
      </c>
      <c r="D17" s="12" t="n"/>
      <c r="E17" s="12">
        <f>B17&amp;"("&amp;C17&amp;")"&amp;D17</f>
        <v/>
      </c>
      <c r="F17" s="12">
        <f>B17&amp;C17&amp;D17</f>
        <v/>
      </c>
      <c r="G17" s="13" t="inlineStr">
        <is>
          <t>port_id</t>
        </is>
      </c>
      <c r="H17" s="14" t="inlineStr">
        <is>
          <t>Основной порт – указывается номер в массиве основных портов</t>
        </is>
      </c>
      <c r="I17" s="13" t="inlineStr">
        <is>
          <t>int</t>
        </is>
      </c>
    </row>
    <row r="18">
      <c r="A18" s="12" t="inlineStr">
        <is>
          <t>,0</t>
        </is>
      </c>
      <c r="B18" s="12" t="inlineStr">
        <is>
          <t>,</t>
        </is>
      </c>
      <c r="C18" s="12" t="inlineStr">
        <is>
          <t>\d+</t>
        </is>
      </c>
      <c r="D18" s="12" t="n"/>
      <c r="E18" s="12">
        <f>B18&amp;"("&amp;C18&amp;")"&amp;D18</f>
        <v/>
      </c>
      <c r="F18" s="12">
        <f>B18&amp;C18&amp;D18</f>
        <v/>
      </c>
      <c r="G18" s="13" t="inlineStr">
        <is>
          <t>port_sec_id</t>
        </is>
      </c>
      <c r="H18" s="14" t="inlineStr">
        <is>
          <t>Вспомогательный порт – указывается номер в массиве вспомогательных портов</t>
        </is>
      </c>
      <c r="I18" s="13" t="inlineStr">
        <is>
          <t>int</t>
        </is>
      </c>
    </row>
    <row r="19">
      <c r="A19" s="22" t="inlineStr">
        <is>
          <t>,13036</t>
        </is>
      </c>
      <c r="B19" s="12" t="inlineStr">
        <is>
          <t>,</t>
        </is>
      </c>
      <c r="C19" s="12" t="inlineStr">
        <is>
          <t>\d+</t>
        </is>
      </c>
      <c r="D19" s="12" t="n"/>
      <c r="E19" s="12">
        <f>B19&amp;"("&amp;C19&amp;")"&amp;D19</f>
        <v/>
      </c>
      <c r="F19" s="12">
        <f>B19&amp;C19&amp;D19</f>
        <v/>
      </c>
      <c r="G19" s="13" t="inlineStr">
        <is>
          <t>session_id</t>
        </is>
      </c>
      <c r="H19" s="14" t="inlineStr">
        <is>
          <t>Сеанс – номер сеанса</t>
        </is>
      </c>
      <c r="I19" s="13" t="inlineStr">
        <is>
          <t>int</t>
        </is>
      </c>
    </row>
    <row r="20">
      <c r="A20" s="18" t="inlineStr">
        <is>
          <t>,1</t>
        </is>
      </c>
      <c r="B20" s="18" t="n"/>
      <c r="C20" s="18" t="n"/>
      <c r="D20" s="18" t="n"/>
      <c r="E20" s="18" t="inlineStr">
        <is>
          <t>,\d+</t>
        </is>
      </c>
      <c r="F20" s="18">
        <f>E20</f>
        <v/>
      </c>
      <c r="G20" s="2" t="n"/>
      <c r="H20" s="3" t="inlineStr">
        <is>
          <t>Количество дополнительных метаданных, номера которых будут перечислены в следующих элементах записи.</t>
        </is>
      </c>
      <c r="I20" s="2" t="n"/>
    </row>
    <row r="21">
      <c r="A21" s="18" t="inlineStr">
        <is>
          <t>,24</t>
        </is>
      </c>
      <c r="B21" s="18" t="n"/>
      <c r="C21" s="18" t="n"/>
      <c r="D21" s="18" t="n"/>
      <c r="E21" s="18" t="inlineStr">
        <is>
          <t>[,\d+]*</t>
        </is>
      </c>
      <c r="F21" s="18">
        <f>E21</f>
        <v/>
      </c>
      <c r="G21" s="2" t="n"/>
      <c r="H21" s="3" t="inlineStr">
        <is>
          <t>Непонятное поле. Встретился в FIN</t>
        </is>
      </c>
      <c r="I21" s="2" t="n"/>
    </row>
    <row r="22" ht="30" customHeight="1" s="44">
      <c r="A22" s="19" t="inlineStr">
        <is>
          <t>,
{</t>
        </is>
      </c>
      <c r="B22" s="19" t="n"/>
      <c r="C22" s="19" t="n"/>
      <c r="D22" s="19" t="n"/>
      <c r="E22" s="19" t="inlineStr">
        <is>
          <t>,\r*\n\{</t>
        </is>
      </c>
      <c r="F22" s="19">
        <f>E22</f>
        <v/>
      </c>
      <c r="H22" s="3" t="n"/>
      <c r="I22" s="2" t="n"/>
    </row>
    <row r="23">
      <c r="A23" s="43" t="n">
        <v>0</v>
      </c>
      <c r="B23" s="43" t="n"/>
      <c r="C23" s="43" t="n"/>
      <c r="D23" s="43" t="n"/>
      <c r="E23" s="43" t="inlineStr">
        <is>
          <t>(</t>
        </is>
      </c>
      <c r="F23" s="43" t="inlineStr">
        <is>
          <t>(</t>
        </is>
      </c>
      <c r="G23" s="2" t="n"/>
      <c r="H23" s="47" t="inlineStr">
        <is>
          <t>всё содержимое блока</t>
        </is>
      </c>
      <c r="I23" t="inlineStr">
        <is>
          <t>int</t>
        </is>
      </c>
    </row>
    <row r="24">
      <c r="A24" s="43" t="inlineStr">
        <is>
          <t>|1,2,3,4,5</t>
        </is>
      </c>
      <c r="B24" s="43" t="n"/>
      <c r="C24" s="43" t="n"/>
      <c r="D24" s="43" t="n"/>
      <c r="E24" t="inlineStr">
        <is>
          <t>(\d+)</t>
        </is>
      </c>
      <c r="F24" t="inlineStr">
        <is>
          <t>(\d+)</t>
        </is>
      </c>
      <c r="G24" s="42" t="n"/>
      <c r="H24" s="47" t="inlineStr">
        <is>
          <t>если есть этот, то сценарий номер 1</t>
        </is>
      </c>
    </row>
    <row r="25">
      <c r="A25" s="43" t="inlineStr">
        <is>
          <t>},</t>
        </is>
      </c>
      <c r="B25" s="43" t="n"/>
      <c r="C25" s="43" t="n"/>
      <c r="D25" s="43" t="n"/>
      <c r="E25" s="43" t="inlineStr">
        <is>
          <t>|\d+</t>
        </is>
      </c>
      <c r="F25" s="43" t="inlineStr">
        <is>
          <t>|\d+,(\d+),(\d+),(\d+),(\d+)</t>
        </is>
      </c>
      <c r="G25" s="42" t="n"/>
      <c r="H25" s="47" t="inlineStr">
        <is>
          <t>если есть этот, то основные и дополнительные данные</t>
        </is>
      </c>
    </row>
    <row r="26">
      <c r="A26" s="43" t="n"/>
      <c r="B26" s="43" t="n"/>
      <c r="C26" s="43" t="n"/>
      <c r="D26" s="43" t="n"/>
      <c r="E26" s="47" t="inlineStr">
        <is>
          <t>,(\d+)</t>
        </is>
      </c>
      <c r="F26" s="47" t="n"/>
      <c r="G26" s="48" t="inlineStr">
        <is>
          <t>area_id</t>
        </is>
      </c>
      <c r="H26" s="47" t="inlineStr">
        <is>
          <t>Это - ссылка на область признак области данных - основные или вспомогательные и массива {9,</t>
        </is>
      </c>
    </row>
    <row r="27">
      <c r="A27" s="43" t="n"/>
      <c r="B27" s="43" t="n"/>
      <c r="C27" s="43" t="n"/>
      <c r="D27" s="43" t="n"/>
      <c r="E27" s="47" t="inlineStr">
        <is>
          <t>,(\d+)</t>
        </is>
      </c>
      <c r="F27" s="47" t="n"/>
      <c r="H27" s="47" t="inlineStr">
        <is>
          <t>Это номер на ссылку по такой структуре ["N",id_области},id_осн_или_вспом, этот номер)</t>
        </is>
      </c>
    </row>
    <row r="28">
      <c r="A28" s="43" t="n"/>
      <c r="B28" s="43" t="n"/>
      <c r="C28" s="43" t="n"/>
      <c r="D28" s="43" t="n"/>
      <c r="E28" s="47" t="inlineStr">
        <is>
          <t>,(\d+)</t>
        </is>
      </c>
      <c r="F28" s="47" t="n"/>
      <c r="G28" s="48" t="inlineStr">
        <is>
          <t>area_sec_id</t>
        </is>
      </c>
      <c r="H28" s="47" t="inlineStr">
        <is>
          <t>Это - ссылка на область признак области данных - основные или вспомогательные и массива {9,</t>
        </is>
      </c>
    </row>
    <row r="29">
      <c r="A29" s="43" t="n"/>
      <c r="B29" s="43" t="n"/>
      <c r="C29" s="43" t="n"/>
      <c r="D29" s="43" t="n"/>
      <c r="E29" s="47" t="inlineStr">
        <is>
          <t>,(\d+)</t>
        </is>
      </c>
      <c r="F29" s="47" t="n"/>
      <c r="H29" s="47" t="inlineStr">
        <is>
          <t>Это номер на ссылку по такой структуре ["N",id_области},id_осн_или_вспом, этот номер)</t>
        </is>
      </c>
    </row>
    <row r="30">
      <c r="A30" s="43" t="n"/>
      <c r="B30" s="43" t="n"/>
      <c r="C30" s="43" t="n"/>
      <c r="D30" s="43" t="n"/>
      <c r="E30" s="47" t="inlineStr">
        <is>
          <t>)</t>
        </is>
      </c>
      <c r="F30" s="47" t="n"/>
      <c r="H30" s="47" t="inlineStr">
        <is>
          <t>закрытие блока</t>
        </is>
      </c>
    </row>
    <row r="31">
      <c r="A31" s="43" t="n"/>
      <c r="B31" s="43" t="n"/>
      <c r="C31" s="43" t="n"/>
      <c r="D31" s="43" t="n"/>
      <c r="E31" s="47" t="n"/>
      <c r="F31" s="47" t="n"/>
      <c r="H31" s="47" t="n"/>
    </row>
    <row r="32">
      <c r="A32" s="43" t="n"/>
      <c r="B32" s="43" t="n"/>
      <c r="C32" s="43" t="n"/>
      <c r="D32" s="43" t="n"/>
      <c r="E32" s="43" t="inlineStr">
        <is>
          <t>\}\r*\n\},*\r*\n*</t>
        </is>
      </c>
      <c r="F32" s="43" t="inlineStr">
        <is>
          <t>\}\r*\n\},*\r*\n*</t>
        </is>
      </c>
      <c r="H32" s="47" t="n"/>
    </row>
    <row r="33">
      <c r="A33" s="43" t="n"/>
      <c r="B33" s="43" t="n"/>
      <c r="C33" s="43" t="n"/>
      <c r="D33" s="43" t="n"/>
      <c r="E33" s="43" t="n"/>
      <c r="F33" s="43" t="n"/>
      <c r="H33" s="47" t="n"/>
    </row>
    <row r="34">
      <c r="A34" s="43" t="n"/>
      <c r="B34" s="43" t="n"/>
      <c r="C34" s="43" t="n"/>
      <c r="D34" s="43" t="n"/>
      <c r="E34" s="46" t="n"/>
      <c r="F34" s="46" t="n"/>
    </row>
    <row r="35">
      <c r="A35" s="43" t="n"/>
      <c r="B35" s="43" t="n"/>
      <c r="C35" s="43" t="n"/>
      <c r="D35" s="43" t="n"/>
      <c r="E35" s="46" t="inlineStr">
        <is>
          <t>ꡏ</t>
        </is>
      </c>
      <c r="F35" s="46" t="n"/>
    </row>
    <row r="36">
      <c r="A36" s="47" t="inlineStr">
        <is>
          <t>МультиСтрока=</t>
        </is>
      </c>
      <c r="B36" s="47" t="n"/>
      <c r="C36" s="47" t="n"/>
      <c r="D36" s="47" t="inlineStr">
        <is>
          <t>Новая</t>
        </is>
      </c>
      <c r="E36" s="46" t="inlineStr">
        <is>
          <t>[^ꡏ]*?</t>
        </is>
      </c>
    </row>
    <row r="37">
      <c r="D37" t="inlineStr">
        <is>
          <t>Старая</t>
        </is>
      </c>
      <c r="E37">
        <f>CONCATENATE("[",B41,C41,D41,E41,B42,C42,D42,B43,C43,D43,B44,C44,D44,E44,D45,E45,E46,E47,"]*?")</f>
        <v/>
      </c>
    </row>
    <row r="38" customFormat="1" s="32">
      <c r="A38" s="32" t="inlineStr">
        <is>
          <t>Итог=</t>
        </is>
      </c>
      <c r="E38" s="32">
        <f>E1&amp;E2&amp;E3&amp;E4&amp;E5&amp;E6&amp;E7&amp;E8&amp;E9&amp;E10&amp;E11&amp;E12&amp;E13&amp;E14&amp;E15&amp;E16&amp;E17&amp;E18&amp;E19&amp;E20&amp;E21&amp;E22&amp;E23&amp;E24&amp;E25&amp;E26&amp;E27&amp;E28&amp;E29&amp;E30&amp;E31&amp;E32</f>
        <v/>
      </c>
      <c r="H38" s="33" t="n"/>
    </row>
    <row r="39" customFormat="1" s="32">
      <c r="A39" s="32" t="inlineStr">
        <is>
          <t>Итог без скобок=</t>
        </is>
      </c>
      <c r="E39" s="32">
        <f>F1&amp;F2&amp;F3&amp;F4&amp;F5&amp;F6&amp;F7&amp;F8&amp;F9&amp;F10&amp;F11&amp;F12&amp;F13&amp;F14&amp;F15&amp;F16&amp;F17&amp;F18&amp;F19&amp;F20&amp;F21&amp;F22&amp;F23&amp;F24&amp;F25&amp;#REF!&amp;F32</f>
        <v/>
      </c>
      <c r="H39" s="33" t="n"/>
    </row>
    <row r="40"/>
    <row r="41" customFormat="1" s="2">
      <c r="A41" s="2" t="inlineStr">
        <is>
          <t>Части мультистроки</t>
        </is>
      </c>
      <c r="B41" s="2" t="inlineStr">
        <is>
          <t>А-Я</t>
        </is>
      </c>
      <c r="C41" s="2" t="inlineStr">
        <is>
          <t>\Ё</t>
        </is>
      </c>
      <c r="D41" s="2" t="inlineStr">
        <is>
          <t>а-я</t>
        </is>
      </c>
      <c r="E41" s="2" t="inlineStr">
        <is>
          <t>\ё</t>
        </is>
      </c>
      <c r="H41" s="3" t="n"/>
    </row>
    <row r="42" customFormat="1" s="2">
      <c r="B42" s="2" t="inlineStr">
        <is>
          <t>A-Z</t>
        </is>
      </c>
      <c r="C42" s="36" t="inlineStr">
        <is>
          <t>a-z</t>
        </is>
      </c>
      <c r="D42" s="36" t="inlineStr">
        <is>
          <t>\d</t>
        </is>
      </c>
      <c r="H42" s="3" t="n"/>
    </row>
    <row r="43">
      <c r="A43" s="40" t="n"/>
      <c r="B43" s="40" t="inlineStr">
        <is>
          <t>\n</t>
        </is>
      </c>
      <c r="C43" s="40" t="inlineStr">
        <is>
          <t>\r</t>
        </is>
      </c>
      <c r="D43" s="40" t="inlineStr">
        <is>
          <t>\s</t>
        </is>
      </c>
      <c r="E43" s="40" t="n"/>
      <c r="F43" s="40" t="n"/>
      <c r="G43" s="40" t="n"/>
      <c r="H43" s="41" t="n"/>
      <c r="I43" s="40" t="n"/>
    </row>
    <row r="44" customFormat="1" s="34">
      <c r="A44" s="36" t="n"/>
      <c r="B44" s="36" t="inlineStr">
        <is>
          <t>\.\,\:\;\=</t>
        </is>
      </c>
      <c r="C44" s="34" t="inlineStr">
        <is>
          <t>\/\~\'\"</t>
        </is>
      </c>
      <c r="D44" s="36" t="inlineStr">
        <is>
          <t>\_\\\#</t>
        </is>
      </c>
      <c r="E44" s="36" t="inlineStr">
        <is>
          <t>\(\)\{\}\&lt;\&gt;\[\]\«\»</t>
        </is>
      </c>
      <c r="F44" s="37" t="n"/>
      <c r="G44" s="36" t="n"/>
      <c r="H44" s="38" t="n"/>
      <c r="I44" s="36" t="n"/>
    </row>
    <row r="45" customFormat="1" s="34">
      <c r="A45" s="36" t="n"/>
      <c r="B45" s="36" t="n"/>
      <c r="C45" s="36" t="n"/>
      <c r="D45" s="36" t="inlineStr">
        <is>
          <t>\?\№\¶\|\–</t>
        </is>
      </c>
      <c r="E45" s="39" t="inlineStr">
        <is>
          <t>\!\&amp;\%\$\@\^\*\+\-</t>
        </is>
      </c>
      <c r="F45" s="39" t="n"/>
      <c r="G45" s="36" t="n"/>
      <c r="H45" s="38" t="n"/>
      <c r="I45" s="36" t="n"/>
    </row>
    <row r="46">
      <c r="E46" s="42" t="inlineStr">
        <is>
          <t>\µ\ø\°\⁰\¹\²\³\½\¼\¾\®\©\™\±\≠\≤\≥\÷\×\∞\α\β\π\Ω\∑\€\£\¥</t>
        </is>
      </c>
    </row>
    <row r="47">
      <c r="E47" s="42" t="inlineStr">
        <is>
          <t>\¡\¢\¤\¦\§\¨\ª\¬\¯\´\¶\·\¸\º\¿\×\Ø\ß\Þ\æ\`\~</t>
        </is>
      </c>
    </row>
  </sheetData>
  <mergeCells count="2">
    <mergeCell ref="G26:G27"/>
    <mergeCell ref="G28:G29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B12" sqref="B12"/>
    </sheetView>
  </sheetViews>
  <sheetFormatPr baseColWidth="8" defaultRowHeight="15"/>
  <cols>
    <col width="24.5703125" customWidth="1" style="44" min="1" max="1"/>
    <col width="104.42578125" customWidth="1" style="44" min="2" max="2"/>
    <col width="117.28515625" customWidth="1" style="47" min="4" max="4"/>
    <col width="12.42578125" bestFit="1" customWidth="1" style="44" min="5" max="5"/>
  </cols>
  <sheetData>
    <row r="1">
      <c r="A1" s="2" t="n"/>
      <c r="B1" s="2" t="n"/>
      <c r="C1" s="2" t="n"/>
      <c r="D1" s="3" t="n"/>
      <c r="E1" s="2" t="inlineStr">
        <is>
          <t>Тип Solr</t>
        </is>
      </c>
    </row>
    <row r="2">
      <c r="A2" s="4" t="inlineStr">
        <is>
          <t>{20171121074156</t>
        </is>
      </c>
      <c r="B2" s="4" t="inlineStr">
        <is>
          <t>\{(\d{14})</t>
        </is>
      </c>
      <c r="C2" s="4" t="inlineStr">
        <is>
          <t>date</t>
        </is>
      </c>
      <c r="D2" s="5" t="inlineStr">
        <is>
          <t>Дата и время в формате "yyyyMMddHHmmss"</t>
        </is>
      </c>
      <c r="E2" s="4" t="inlineStr">
        <is>
          <t>string</t>
        </is>
      </c>
    </row>
    <row r="3" ht="30" customHeight="1" s="44">
      <c r="A3" s="4" t="inlineStr">
        <is>
          <t>,N</t>
        </is>
      </c>
      <c r="B3" s="4" t="inlineStr">
        <is>
          <t>,(\w)</t>
        </is>
      </c>
      <c r="C3" s="4" t="inlineStr">
        <is>
          <t>t_status</t>
        </is>
      </c>
      <c r="D3" s="5" t="inlineStr">
        <is>
          <t>Статус транзакции – может принимать четыре значения "N" – "Отсутствует", "U" – "Зафиксирована", "R" – "Не завершена" и "C" – "Отменена"</t>
        </is>
      </c>
      <c r="E3" s="4" t="inlineStr">
        <is>
          <t>string</t>
        </is>
      </c>
    </row>
    <row r="4" ht="30" customHeight="1" s="44">
      <c r="A4" s="5" t="inlineStr">
        <is>
          <t>,
{0,0}</t>
        </is>
      </c>
      <c r="B4" s="5" t="inlineStr">
        <is>
          <t>,\s*\r*\n\{([0-9abcdef]+,[0-9abcdef]+)\}</t>
        </is>
      </c>
      <c r="C4" s="4" t="inlineStr">
        <is>
          <t>t_id</t>
        </is>
      </c>
      <c r="D4" s="5" t="inlineStr">
        <is>
          <t>Транзакция в формате записи из двух элементов преобразованных в шестнадцатеричное число – первый – число секунд с 01.01.0001 00:00:00 умноженное на 10000, второй – номер транзакции</t>
        </is>
      </c>
      <c r="E4" s="4" t="inlineStr">
        <is>
          <t>string</t>
        </is>
      </c>
    </row>
    <row r="5">
      <c r="A5" s="20" t="inlineStr">
        <is>
          <t>,235</t>
        </is>
      </c>
      <c r="B5" s="20" t="inlineStr">
        <is>
          <t>,(\d+)</t>
        </is>
      </c>
      <c r="C5" s="6" t="inlineStr">
        <is>
          <t>user_id</t>
        </is>
      </c>
      <c r="D5" s="7" t="inlineStr">
        <is>
          <t>Пользователь – указывается номер в массиве пользователей</t>
        </is>
      </c>
      <c r="E5" s="6" t="inlineStr">
        <is>
          <t>string&amp;uuid</t>
        </is>
      </c>
    </row>
    <row r="6">
      <c r="A6" s="8" t="inlineStr">
        <is>
          <t>,22</t>
        </is>
      </c>
      <c r="B6" s="8" t="inlineStr">
        <is>
          <t>,(\d+)</t>
        </is>
      </c>
      <c r="C6" s="4" t="inlineStr">
        <is>
          <t>comp_id</t>
        </is>
      </c>
      <c r="D6" s="5" t="inlineStr">
        <is>
          <t>Компьютер – указывается номер в массиве компьютеров</t>
        </is>
      </c>
      <c r="E6" s="4" t="inlineStr">
        <is>
          <t>string</t>
        </is>
      </c>
    </row>
    <row r="7">
      <c r="A7" s="21" t="inlineStr">
        <is>
          <t>,1</t>
        </is>
      </c>
      <c r="B7" s="21" t="inlineStr">
        <is>
          <t>,(\d+)</t>
        </is>
      </c>
      <c r="C7" s="10" t="inlineStr">
        <is>
          <t>app_id</t>
        </is>
      </c>
      <c r="D7" s="11" t="inlineStr">
        <is>
          <t>Приложение – указывается номер в массиве приложений</t>
        </is>
      </c>
      <c r="E7" s="10" t="inlineStr">
        <is>
          <t>string&amp;string</t>
        </is>
      </c>
    </row>
    <row r="8">
      <c r="A8" s="22" t="inlineStr">
        <is>
          <t>,250462</t>
        </is>
      </c>
      <c r="B8" s="22" t="inlineStr">
        <is>
          <t>,(\d+)</t>
        </is>
      </c>
      <c r="C8" s="13" t="inlineStr">
        <is>
          <t>conn_id</t>
        </is>
      </c>
      <c r="D8" s="14" t="inlineStr">
        <is>
          <t>Соединение – номер соединения</t>
        </is>
      </c>
      <c r="E8" s="13" t="inlineStr">
        <is>
          <t>int</t>
        </is>
      </c>
    </row>
    <row r="9">
      <c r="A9" s="8" t="inlineStr">
        <is>
          <t>,7</t>
        </is>
      </c>
      <c r="B9" s="8" t="inlineStr">
        <is>
          <t>,(\d+)</t>
        </is>
      </c>
      <c r="C9" s="4" t="inlineStr">
        <is>
          <t>event_id</t>
        </is>
      </c>
      <c r="D9" s="5" t="inlineStr">
        <is>
          <t>Событие – указывается номер в массиве событий</t>
        </is>
      </c>
      <c r="E9" s="4" t="inlineStr">
        <is>
          <t>string</t>
        </is>
      </c>
    </row>
    <row r="10" ht="30" customHeight="1" s="44">
      <c r="A10" s="8" t="inlineStr">
        <is>
          <t>,I</t>
        </is>
      </c>
      <c r="B10" s="8" t="inlineStr">
        <is>
          <t>,(\w)</t>
        </is>
      </c>
      <c r="C10" s="4" t="inlineStr">
        <is>
          <t>severity</t>
        </is>
      </c>
      <c r="D10" s="5" t="inlineStr">
        <is>
          <t>Важность – может принимать четыре значения – "I" – "Информация", "E" – "Ошибки", "W" – "Предупреждения" и "N" – "Примечания"</t>
        </is>
      </c>
      <c r="E10" s="4" t="inlineStr">
        <is>
          <t>string</t>
        </is>
      </c>
    </row>
    <row r="11">
      <c r="A11" s="8" t="n"/>
      <c r="B11" s="8" t="n"/>
      <c r="C11" s="4" t="n"/>
      <c r="D11" s="5" t="n"/>
      <c r="E11" s="4" t="n"/>
    </row>
    <row r="12">
      <c r="A12" s="15" t="inlineStr">
        <is>
          <t>,""</t>
        </is>
      </c>
      <c r="B12" s="23">
        <f>CONCATENATE(",",CHAR(34),"(",B24,")","?",CHAR(34))</f>
        <v/>
      </c>
      <c r="C12" s="16" t="inlineStr">
        <is>
          <t>comment_raw</t>
        </is>
      </c>
      <c r="D12" s="17" t="inlineStr">
        <is>
          <t>Комментарий – любой текст в кавычках</t>
        </is>
      </c>
      <c r="E12" s="16" t="inlineStr">
        <is>
          <t>text</t>
        </is>
      </c>
    </row>
    <row r="13">
      <c r="A13" s="9" t="inlineStr">
        <is>
          <t>,0</t>
        </is>
      </c>
      <c r="B13" s="21" t="inlineStr">
        <is>
          <t>,(\d+)</t>
        </is>
      </c>
      <c r="C13" s="10" t="inlineStr">
        <is>
          <t>meta_id</t>
        </is>
      </c>
      <c r="D13" s="11" t="inlineStr">
        <is>
          <t>Метаданные – указывается номер в массиве метаданных</t>
        </is>
      </c>
      <c r="E13" s="10" t="inlineStr">
        <is>
          <t>string&amp;string</t>
        </is>
      </c>
    </row>
    <row r="14" ht="90" customHeight="1" s="44">
      <c r="A14" s="31" t="inlineStr">
        <is>
          <t>{"P",
{6,
{"S","Чтение"},
{"U"}
}
}</t>
        </is>
      </c>
      <c r="B14" s="23">
        <f>CONCATENATE(",","\s*\r*\n\{","(",B25,")","?","\}")</f>
        <v/>
      </c>
      <c r="C14" s="16" t="inlineStr">
        <is>
          <t>data_raw</t>
        </is>
      </c>
      <c r="D14" s="17" t="inlineStr">
        <is>
          <t>Данные – самый хитрый элемент, содержащий вложенную запись</t>
        </is>
      </c>
      <c r="E14" s="16" t="inlineStr">
        <is>
          <t>text</t>
        </is>
      </c>
    </row>
    <row r="15">
      <c r="A15" s="4" t="inlineStr">
        <is>
          <t>,""</t>
        </is>
      </c>
      <c r="B15" s="4" t="inlineStr">
        <is>
          <t>,"(.*?)"</t>
        </is>
      </c>
      <c r="C15" s="4" t="inlineStr">
        <is>
          <t>data_pres_raw</t>
        </is>
      </c>
      <c r="D15" s="5" t="inlineStr">
        <is>
          <t>Представление данных – текст в кавычках</t>
        </is>
      </c>
      <c r="E15" s="4" t="inlineStr">
        <is>
          <t>string</t>
        </is>
      </c>
    </row>
    <row r="16">
      <c r="A16" s="8" t="inlineStr">
        <is>
          <t>,3</t>
        </is>
      </c>
      <c r="B16" s="8" t="inlineStr">
        <is>
          <t>,(\d+)</t>
        </is>
      </c>
      <c r="C16" s="4" t="inlineStr">
        <is>
          <t>server_id</t>
        </is>
      </c>
      <c r="D16" s="5" t="inlineStr">
        <is>
          <t>Сервер – указывается номер в массиве серверов</t>
        </is>
      </c>
      <c r="E16" s="4" t="inlineStr">
        <is>
          <t>string</t>
        </is>
      </c>
    </row>
    <row r="17">
      <c r="A17" s="22" t="inlineStr">
        <is>
          <t>,12</t>
        </is>
      </c>
      <c r="B17" s="22" t="inlineStr">
        <is>
          <t>,(\d+)</t>
        </is>
      </c>
      <c r="C17" s="13" t="inlineStr">
        <is>
          <t>port_id</t>
        </is>
      </c>
      <c r="D17" s="14" t="inlineStr">
        <is>
          <t>Основной порт – указывается номер в массиве основных портов</t>
        </is>
      </c>
      <c r="E17" s="13" t="inlineStr">
        <is>
          <t>int</t>
        </is>
      </c>
    </row>
    <row r="18">
      <c r="A18" s="12" t="inlineStr">
        <is>
          <t>,0</t>
        </is>
      </c>
      <c r="B18" s="22" t="inlineStr">
        <is>
          <t>,(\d+)</t>
        </is>
      </c>
      <c r="C18" s="13" t="inlineStr">
        <is>
          <t>port_sec_id</t>
        </is>
      </c>
      <c r="D18" s="14" t="inlineStr">
        <is>
          <t>Вспомогательный порт – указывается номер в массиве вспомогательных портов</t>
        </is>
      </c>
      <c r="E18" s="13" t="inlineStr">
        <is>
          <t>int</t>
        </is>
      </c>
    </row>
    <row r="19">
      <c r="A19" s="22" t="inlineStr">
        <is>
          <t>,13036</t>
        </is>
      </c>
      <c r="B19" s="22" t="inlineStr">
        <is>
          <t>,(\d+)</t>
        </is>
      </c>
      <c r="C19" s="13" t="inlineStr">
        <is>
          <t>session_id</t>
        </is>
      </c>
      <c r="D19" s="14" t="inlineStr">
        <is>
          <t>Сеанс – номер сеанса</t>
        </is>
      </c>
      <c r="E19" s="13" t="inlineStr">
        <is>
          <t>int</t>
        </is>
      </c>
    </row>
    <row r="20">
      <c r="A20" s="18" t="inlineStr">
        <is>
          <t>,1</t>
        </is>
      </c>
      <c r="B20" s="18" t="inlineStr">
        <is>
          <t>,\d+</t>
        </is>
      </c>
      <c r="C20" s="2" t="inlineStr">
        <is>
          <t>area_id</t>
        </is>
      </c>
      <c r="D20" s="3" t="inlineStr">
        <is>
          <t>Количество дополнительных метаданных, номера которых будут перечислены в следующих элементах записи.</t>
        </is>
      </c>
      <c r="E20" s="2" t="n"/>
    </row>
    <row r="21">
      <c r="A21" s="18" t="inlineStr">
        <is>
          <t>,24</t>
        </is>
      </c>
      <c r="B21" s="18" t="inlineStr">
        <is>
          <t>[,\d+]*</t>
        </is>
      </c>
      <c r="C21" s="2" t="n"/>
      <c r="D21" s="3" t="inlineStr">
        <is>
          <t>Непонятное поле. Встретился в FIN</t>
        </is>
      </c>
      <c r="E21" s="2" t="n"/>
    </row>
    <row r="22" ht="30" customHeight="1" s="44">
      <c r="A22" s="19" t="inlineStr">
        <is>
          <t>,
{2,1,1,2,1}</t>
        </is>
      </c>
      <c r="B22" s="19" t="inlineStr">
        <is>
          <t>,\s*\r*\n\{[\d,*]+\}\s*\r*\n\},*\r*\n*</t>
        </is>
      </c>
      <c r="C22" s="2" t="inlineStr">
        <is>
          <t>area_sec_id</t>
        </is>
      </c>
      <c r="D22" s="3" t="n"/>
      <c r="E22" s="2" t="n"/>
    </row>
    <row r="23">
      <c r="A23" s="43" t="n"/>
      <c r="B23" s="43" t="n"/>
    </row>
    <row r="24">
      <c r="A24" s="43" t="inlineStr">
        <is>
          <t>КомменарийЧасть=</t>
        </is>
      </c>
      <c r="B24" t="inlineStr">
        <is>
          <t>[А-ЯA-Zа-яa-z\Ё\ё\d\n\r\s\.\,\:\;\(\)\&lt;\&gt;\[\]\«\»\=\/\~\'\"\_\\\#\!\&amp;\%\$\@\#\^\*\+\-\?\№]*</t>
        </is>
      </c>
    </row>
    <row r="25">
      <c r="A25" t="inlineStr">
        <is>
          <t>ДанныеЧасть=</t>
        </is>
      </c>
      <c r="B25" t="inlineStr">
        <is>
          <t>[А-ЯA-Zа-яa-z\Ё\ё\d\n\r\s\.\,\:\;\(\)\{\}\&lt;\&gt;\[\]\«\»\=\/\~\'\"\_\\\#\!\&amp;\%\$\@\#\^\*\+\-\?\№]*</t>
        </is>
      </c>
    </row>
    <row r="26"/>
    <row r="27">
      <c r="A27" s="29" t="inlineStr">
        <is>
          <t>Итог=</t>
        </is>
      </c>
      <c r="B27">
        <f>B2&amp;B3&amp;B4&amp;B5&amp;B6&amp;B7&amp;B8&amp;B9&amp;B10&amp;B12&amp;B13&amp;B14&amp;B15&amp;B16&amp;B17&amp;B18&amp;B19&amp;B20&amp;B21&amp;B22</f>
        <v/>
      </c>
    </row>
    <row r="28"/>
    <row r="29"/>
    <row r="30"/>
    <row r="31"/>
    <row r="32"/>
    <row r="33">
      <c r="A33" t="inlineStr">
        <is>
          <t>Бэкап коммент=</t>
        </is>
      </c>
      <c r="B33" s="23" t="inlineStr">
        <is>
          <t>,"([.\n\{а-я\,\(\d\)\}\:\sa-z\=\;\-\/\"\_\\\?\#\«\»\!\'\&amp;\[\]\&lt;\&gt;\№\ё\%\$\@\#\^\&amp;\*]*?)"</t>
        </is>
      </c>
    </row>
    <row r="34">
      <c r="A34" t="inlineStr">
        <is>
          <t>Бэкап данные=</t>
        </is>
      </c>
      <c r="B34" s="24" t="inlineStr">
        <is>
          <t>,\s*\r*\n\{([.\n\{а-я\,\(\d\)\}\:\sa-z\=\;\-\/\"\_\\\?\#\«\»\!\'\&amp;\[\]\&lt;\&gt;\№\ё\%\$\@\#\^\&amp;\*]*?)}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C2" sqref="C2"/>
    </sheetView>
  </sheetViews>
  <sheetFormatPr baseColWidth="8" defaultRowHeight="15"/>
  <cols>
    <col width="24" bestFit="1" customWidth="1" style="44" min="2" max="2"/>
    <col width="144.5703125" bestFit="1" customWidth="1" style="44" min="3" max="3"/>
  </cols>
  <sheetData>
    <row r="1">
      <c r="B1" s="28" t="inlineStr">
        <is>
          <t>Название 1С</t>
        </is>
      </c>
      <c r="C1" s="28" t="inlineStr">
        <is>
          <t>Пример данных</t>
        </is>
      </c>
    </row>
    <row r="2">
      <c r="B2" t="inlineStr">
        <is>
          <t>ДатаНачала</t>
        </is>
      </c>
      <c r="C2" s="25" t="inlineStr">
        <is>
          <t>12.03.2018  0:00:00</t>
        </is>
      </c>
    </row>
    <row r="3">
      <c r="B3" t="inlineStr">
        <is>
          <t>ДатаОкончания</t>
        </is>
      </c>
      <c r="C3" s="25" t="inlineStr">
        <is>
          <t>14.03.2018  0:00:00</t>
        </is>
      </c>
    </row>
    <row r="4">
      <c r="B4" t="inlineStr">
        <is>
          <t>Пользователь</t>
        </is>
      </c>
      <c r="C4" t="inlineStr">
        <is>
          <t>АгаповаЕД; Администратор</t>
        </is>
      </c>
    </row>
    <row r="5">
      <c r="B5" t="inlineStr">
        <is>
          <t>Событие</t>
        </is>
      </c>
      <c r="C5" t="inlineStr">
        <is>
          <t>БИП:Новости.Обновление ИБ; Сеанс. Аутентификация; Сеанс. Завершение; Сеанс. Начало; Сеанс. Ошибка аутентифика...; Сеанс. Ошибка применения ...</t>
        </is>
      </c>
    </row>
    <row r="6">
      <c r="B6" t="inlineStr">
        <is>
          <t>Компьютер</t>
        </is>
      </c>
      <c r="C6" t="inlineStr">
        <is>
          <t>CDC-1C-ADM-01; CDC-TERM-01</t>
        </is>
      </c>
    </row>
    <row r="7">
      <c r="B7" t="inlineStr">
        <is>
          <t>ИмяПриложения</t>
        </is>
      </c>
      <c r="C7" t="inlineStr">
        <is>
          <t>Веб-клиент; Конфигуратор</t>
        </is>
      </c>
    </row>
    <row r="8">
      <c r="B8" t="inlineStr">
        <is>
          <t>Комментарий</t>
        </is>
      </c>
      <c r="C8" t="inlineStr">
        <is>
          <t>комментарий</t>
        </is>
      </c>
    </row>
    <row r="9">
      <c r="B9" t="inlineStr">
        <is>
          <t>РабочийСервер</t>
        </is>
      </c>
      <c r="C9" t="inlineStr">
        <is>
          <t>CDC-1CL-APP-05</t>
        </is>
      </c>
    </row>
    <row r="10">
      <c r="B10" t="inlineStr">
        <is>
          <t>ОсновнойIPПорт</t>
        </is>
      </c>
      <c r="C10" t="inlineStr">
        <is>
          <t>2 560</t>
        </is>
      </c>
    </row>
    <row r="11">
      <c r="B11" t="inlineStr">
        <is>
          <t>ВспомогательныйIPПорт</t>
        </is>
      </c>
      <c r="C11" t="inlineStr">
        <is>
          <t>25 109</t>
        </is>
      </c>
    </row>
    <row r="12">
      <c r="B12" t="inlineStr">
        <is>
          <t>Уровень</t>
        </is>
      </c>
      <c r="C12" t="inlineStr">
        <is>
          <t>Ошибка; Информация; Примечание</t>
        </is>
      </c>
    </row>
    <row r="13">
      <c r="B13" t="inlineStr">
        <is>
          <t>СтатусТранзакции</t>
        </is>
      </c>
      <c r="C13" t="inlineStr">
        <is>
          <t>Нет транзакции; Отменена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F26" sqref="F26"/>
    </sheetView>
  </sheetViews>
  <sheetFormatPr baseColWidth="8" defaultRowHeight="15"/>
  <cols>
    <col width="14.7109375" bestFit="1" customWidth="1" style="44" min="1" max="1"/>
    <col width="37.42578125" bestFit="1" customWidth="1" style="44" min="2" max="2"/>
    <col width="2" bestFit="1" customWidth="1" style="44" min="3" max="3"/>
    <col width="72.7109375" bestFit="1" customWidth="1" style="44" min="4" max="4"/>
    <col width="4.42578125" bestFit="1" customWidth="1" style="44" min="5" max="5"/>
    <col width="126.85546875" bestFit="1" customWidth="1" style="44" min="6" max="6"/>
  </cols>
  <sheetData>
    <row r="1">
      <c r="A1" t="inlineStr">
        <is>
          <t>actions_1c.set('</t>
        </is>
      </c>
      <c r="B1" t="inlineStr">
        <is>
          <t>Данные. Добавление</t>
        </is>
      </c>
      <c r="C1" s="26" t="inlineStr">
        <is>
          <t>','</t>
        </is>
      </c>
      <c r="D1" t="inlineStr">
        <is>
          <t>_$Data$_.New</t>
        </is>
      </c>
      <c r="E1" s="27" t="inlineStr">
        <is>
          <t>');</t>
        </is>
      </c>
      <c r="F1">
        <f>CONCATENATE(A1,D1,C1,B1,E1)</f>
        <v/>
      </c>
    </row>
    <row r="2">
      <c r="A2" t="inlineStr">
        <is>
          <t>actions_1c.set('</t>
        </is>
      </c>
      <c r="B2" t="inlineStr">
        <is>
          <t>Данные. Изменение</t>
        </is>
      </c>
      <c r="C2" s="26" t="inlineStr">
        <is>
          <t>','</t>
        </is>
      </c>
      <c r="D2" t="inlineStr">
        <is>
          <t>_$Data$_.Update</t>
        </is>
      </c>
      <c r="E2" s="27" t="inlineStr">
        <is>
          <t>');</t>
        </is>
      </c>
      <c r="F2">
        <f>CONCATENATE(A2,D2,C2,B2,E2)</f>
        <v/>
      </c>
    </row>
    <row r="3">
      <c r="A3" t="inlineStr">
        <is>
          <t>actions_1c.set('</t>
        </is>
      </c>
      <c r="B3" t="inlineStr">
        <is>
          <t>Данные. Изменение максимального периода рассчитанных итогов</t>
        </is>
      </c>
      <c r="C3" s="26" t="inlineStr">
        <is>
          <t>','</t>
        </is>
      </c>
      <c r="D3" t="inlineStr">
        <is>
          <t>_$Data$_.TotalsMaxPeriodUpdate</t>
        </is>
      </c>
      <c r="E3" s="27" t="inlineStr">
        <is>
          <t>');</t>
        </is>
      </c>
      <c r="F3">
        <f>CONCATENATE(A3,D3,C3,B3,E3)</f>
        <v/>
      </c>
    </row>
    <row r="4">
      <c r="A4" t="inlineStr">
        <is>
          <t>actions_1c.set('</t>
        </is>
      </c>
      <c r="B4" t="inlineStr">
        <is>
          <t>Данные. Инициализация предопределенных данных</t>
        </is>
      </c>
      <c r="C4" s="26" t="inlineStr">
        <is>
          <t>','</t>
        </is>
      </c>
      <c r="D4" t="inlineStr">
        <is>
          <t>_$Data$_.PredefinedDataInitialization</t>
        </is>
      </c>
      <c r="E4" s="27" t="inlineStr">
        <is>
          <t>');</t>
        </is>
      </c>
      <c r="F4">
        <f>CONCATENATE(A4,D4,C4,B4,E4)</f>
        <v/>
      </c>
    </row>
    <row r="5">
      <c r="A5" t="inlineStr">
        <is>
          <t>actions_1c.set('</t>
        </is>
      </c>
      <c r="B5" t="inlineStr">
        <is>
          <t>Данные. Отмена проведения</t>
        </is>
      </c>
      <c r="C5" s="26" t="inlineStr">
        <is>
          <t>','</t>
        </is>
      </c>
      <c r="D5" t="inlineStr">
        <is>
          <t>_$Data$_.Unpost</t>
        </is>
      </c>
      <c r="E5" s="27" t="inlineStr">
        <is>
          <t>');</t>
        </is>
      </c>
      <c r="F5">
        <f>CONCATENATE(A5,D5,C5,B5,E5)</f>
        <v/>
      </c>
    </row>
    <row r="6">
      <c r="A6" t="inlineStr">
        <is>
          <t>actions_1c.set('</t>
        </is>
      </c>
      <c r="B6" t="inlineStr">
        <is>
          <t>Данные. Проведение</t>
        </is>
      </c>
      <c r="C6" s="26" t="inlineStr">
        <is>
          <t>','</t>
        </is>
      </c>
      <c r="D6" t="inlineStr">
        <is>
          <t>_$Data$_.Post</t>
        </is>
      </c>
      <c r="E6" s="27" t="inlineStr">
        <is>
          <t>');</t>
        </is>
      </c>
      <c r="F6">
        <f>CONCATENATE(A6,D6,C6,B6,E6)</f>
        <v/>
      </c>
    </row>
    <row r="7">
      <c r="A7" t="inlineStr">
        <is>
          <t>actions_1c.set('</t>
        </is>
      </c>
      <c r="B7" t="inlineStr">
        <is>
          <t>Данные. Удаление</t>
        </is>
      </c>
      <c r="C7" s="26" t="inlineStr">
        <is>
          <t>','</t>
        </is>
      </c>
      <c r="D7" t="inlineStr">
        <is>
          <t>_$Data$_.Delete</t>
        </is>
      </c>
      <c r="E7" s="27" t="inlineStr">
        <is>
          <t>');</t>
        </is>
      </c>
      <c r="F7">
        <f>CONCATENATE(A7,D7,C7,B7,E7)</f>
        <v/>
      </c>
    </row>
    <row r="8">
      <c r="A8" t="inlineStr">
        <is>
          <t>actions_1c.set('</t>
        </is>
      </c>
      <c r="B8" t="inlineStr">
        <is>
          <t>Доступ. Отказ в доступе</t>
        </is>
      </c>
      <c r="C8" s="26" t="inlineStr">
        <is>
          <t>','</t>
        </is>
      </c>
      <c r="D8" t="inlineStr">
        <is>
          <t>_$Access$_.AccessDenied</t>
        </is>
      </c>
      <c r="E8" s="27" t="inlineStr">
        <is>
          <t>');</t>
        </is>
      </c>
      <c r="F8">
        <f>CONCATENATE(A8,D8,C8,B8,E8)</f>
        <v/>
      </c>
    </row>
    <row r="9">
      <c r="A9" t="inlineStr">
        <is>
          <t>actions_1c.set('</t>
        </is>
      </c>
      <c r="B9" t="inlineStr">
        <is>
          <t>Информационная база. Изменение конфигурации</t>
        </is>
      </c>
      <c r="C9" s="26" t="inlineStr">
        <is>
          <t>','</t>
        </is>
      </c>
      <c r="D9" t="inlineStr">
        <is>
          <t>_$InfoBase$_.ConfigUpdate</t>
        </is>
      </c>
      <c r="E9" s="27" t="inlineStr">
        <is>
          <t>');</t>
        </is>
      </c>
      <c r="F9">
        <f>CONCATENATE(A9,D9,C9,B9,E9)</f>
        <v/>
      </c>
    </row>
    <row r="10">
      <c r="A10" t="inlineStr">
        <is>
          <t>actions_1c.set('</t>
        </is>
      </c>
      <c r="B10" t="inlineStr">
        <is>
          <t>Информационная база. Изменение конфигурации базы данных</t>
        </is>
      </c>
      <c r="C10" s="26" t="inlineStr">
        <is>
          <t>','</t>
        </is>
      </c>
      <c r="D10" t="inlineStr">
        <is>
          <t>_$InfoBase$_.DBConfigUpdate</t>
        </is>
      </c>
      <c r="E10" s="27" t="inlineStr">
        <is>
          <t>');</t>
        </is>
      </c>
      <c r="F10">
        <f>CONCATENATE(A10,D10,C10,B10,E10)</f>
        <v/>
      </c>
    </row>
    <row r="11">
      <c r="A11" t="inlineStr">
        <is>
          <t>actions_1c.set('</t>
        </is>
      </c>
      <c r="B11" t="inlineStr">
        <is>
          <t>Информационная база. Изменение параметров журнала регистрации</t>
        </is>
      </c>
      <c r="C11" s="26" t="inlineStr">
        <is>
          <t>','</t>
        </is>
      </c>
      <c r="D11" t="inlineStr">
        <is>
          <t>_$InfoBase$_.EventLogSettingsUpdate</t>
        </is>
      </c>
      <c r="E11" s="27" t="inlineStr">
        <is>
          <t>');</t>
        </is>
      </c>
      <c r="F11">
        <f>CONCATENATE(A11,D11,C11,B11,E11)</f>
        <v/>
      </c>
    </row>
    <row r="12">
      <c r="A12" t="inlineStr">
        <is>
          <t>actions_1c.set('</t>
        </is>
      </c>
      <c r="B12" t="inlineStr">
        <is>
          <t>Информационная база. Изменение расширения конфигурации</t>
        </is>
      </c>
      <c r="C12" s="26" t="inlineStr">
        <is>
          <t>','</t>
        </is>
      </c>
      <c r="D12" t="inlineStr">
        <is>
          <t>_$InfoBase$_.ConfigExtensionUpdate</t>
        </is>
      </c>
      <c r="E12" s="27" t="inlineStr">
        <is>
          <t>');</t>
        </is>
      </c>
      <c r="F12">
        <f>CONCATENATE(A12,D12,C12,B12,E12)</f>
        <v/>
      </c>
    </row>
    <row r="13">
      <c r="A13" t="inlineStr">
        <is>
          <t>actions_1c.set('</t>
        </is>
      </c>
      <c r="B13" t="inlineStr">
        <is>
          <t>Информационная база. Изменение расширения конфигурации базы данных</t>
        </is>
      </c>
      <c r="C13" s="26" t="inlineStr">
        <is>
          <t>','</t>
        </is>
      </c>
      <c r="D13" t="inlineStr">
        <is>
          <t>_$InfoBase$_.DBConfigExtensionUpdate</t>
        </is>
      </c>
      <c r="E13" s="27" t="inlineStr">
        <is>
          <t>');</t>
        </is>
      </c>
      <c r="F13">
        <f>CONCATENATE(A13,D13,C13,B13,E13)</f>
        <v/>
      </c>
    </row>
    <row r="14">
      <c r="A14" t="inlineStr">
        <is>
          <t>actions_1c.set('</t>
        </is>
      </c>
      <c r="B14" t="inlineStr">
        <is>
          <t>Ошибка выполнения</t>
        </is>
      </c>
      <c r="C14" s="26" t="inlineStr">
        <is>
          <t>','</t>
        </is>
      </c>
      <c r="D14" t="inlineStr">
        <is>
          <t>_$PerformError$_</t>
        </is>
      </c>
      <c r="E14" s="27" t="inlineStr">
        <is>
          <t>');</t>
        </is>
      </c>
      <c r="F14">
        <f>CONCATENATE(A14,D14,C14,B14,E14)</f>
        <v/>
      </c>
    </row>
    <row r="15">
      <c r="A15" t="inlineStr">
        <is>
          <t>actions_1c.set('</t>
        </is>
      </c>
      <c r="B15" t="inlineStr">
        <is>
          <t>Пользователи. Добавление</t>
        </is>
      </c>
      <c r="C15" s="26" t="inlineStr">
        <is>
          <t>','</t>
        </is>
      </c>
      <c r="D15" t="inlineStr">
        <is>
          <t>_$User$_.New</t>
        </is>
      </c>
      <c r="E15" s="27" t="inlineStr">
        <is>
          <t>');</t>
        </is>
      </c>
      <c r="F15">
        <f>CONCATENATE(A15,D15,C15,B15,E15)</f>
        <v/>
      </c>
    </row>
    <row r="16">
      <c r="A16" t="inlineStr">
        <is>
          <t>actions_1c.set('</t>
        </is>
      </c>
      <c r="B16" t="inlineStr">
        <is>
          <t>Пользователи. Изменение</t>
        </is>
      </c>
      <c r="C16" s="26" t="inlineStr">
        <is>
          <t>','</t>
        </is>
      </c>
      <c r="D16" t="inlineStr">
        <is>
          <t>_$User$_.Update</t>
        </is>
      </c>
      <c r="E16" s="27" t="inlineStr">
        <is>
          <t>');</t>
        </is>
      </c>
      <c r="F16">
        <f>CONCATENATE(A16,D16,C16,B16,E16)</f>
        <v/>
      </c>
    </row>
    <row r="17">
      <c r="A17" t="inlineStr">
        <is>
          <t>actions_1c.set('</t>
        </is>
      </c>
      <c r="B17" t="inlineStr">
        <is>
          <t>Пользователи. Удаление</t>
        </is>
      </c>
      <c r="C17" s="26" t="inlineStr">
        <is>
          <t>','</t>
        </is>
      </c>
      <c r="D17" t="inlineStr">
        <is>
          <t>_$User$_.Delete</t>
        </is>
      </c>
      <c r="E17" s="27" t="inlineStr">
        <is>
          <t>');</t>
        </is>
      </c>
      <c r="F17">
        <f>CONCATENATE(A17,D17,C17,B17,E17)</f>
        <v/>
      </c>
    </row>
    <row r="18">
      <c r="A18" t="inlineStr">
        <is>
          <t>actions_1c.set('</t>
        </is>
      </c>
      <c r="B18" t="inlineStr">
        <is>
          <t>Сеанс. Аутентификация</t>
        </is>
      </c>
      <c r="C18" s="26" t="inlineStr">
        <is>
          <t>','</t>
        </is>
      </c>
      <c r="D18" t="inlineStr">
        <is>
          <t>_$Session$_.Authentication</t>
        </is>
      </c>
      <c r="E18" s="27" t="inlineStr">
        <is>
          <t>');</t>
        </is>
      </c>
      <c r="F18">
        <f>CONCATENATE(A18,D18,C18,B18,E18)</f>
        <v/>
      </c>
    </row>
    <row r="19">
      <c r="A19" t="inlineStr">
        <is>
          <t>actions_1c.set('</t>
        </is>
      </c>
      <c r="B19" t="inlineStr">
        <is>
          <t>Сеанс. Завершение</t>
        </is>
      </c>
      <c r="C19" s="26" t="inlineStr">
        <is>
          <t>','</t>
        </is>
      </c>
      <c r="D19" t="inlineStr">
        <is>
          <t>_$Session$_.Finish</t>
        </is>
      </c>
      <c r="E19" s="27" t="inlineStr">
        <is>
          <t>');</t>
        </is>
      </c>
      <c r="F19">
        <f>CONCATENATE(A19,D19,C19,B19,E19)</f>
        <v/>
      </c>
    </row>
    <row r="20">
      <c r="A20" t="inlineStr">
        <is>
          <t>actions_1c.set('</t>
        </is>
      </c>
      <c r="B20" t="inlineStr">
        <is>
          <t>Сеанс. Начало</t>
        </is>
      </c>
      <c r="C20" s="26" t="inlineStr">
        <is>
          <t>','</t>
        </is>
      </c>
      <c r="D20" t="inlineStr">
        <is>
          <t>_$Session$_.Start</t>
        </is>
      </c>
      <c r="E20" s="27" t="inlineStr">
        <is>
          <t>');</t>
        </is>
      </c>
      <c r="F20">
        <f>CONCATENATE(A20,D20,C20,B20,E20)</f>
        <v/>
      </c>
    </row>
    <row r="21">
      <c r="A21" t="inlineStr">
        <is>
          <t>actions_1c.set('</t>
        </is>
      </c>
      <c r="B21" t="inlineStr">
        <is>
          <t>Сеанс. Ошибка аутентификации</t>
        </is>
      </c>
      <c r="C21" s="26" t="inlineStr">
        <is>
          <t>','</t>
        </is>
      </c>
      <c r="D21" t="inlineStr">
        <is>
          <t>_$Session$_.AuthenticationError</t>
        </is>
      </c>
      <c r="E21" s="27" t="inlineStr">
        <is>
          <t>');</t>
        </is>
      </c>
      <c r="F21">
        <f>CONCATENATE(A21,D21,C21,B21,E21)</f>
        <v/>
      </c>
    </row>
    <row r="22">
      <c r="A22" t="inlineStr">
        <is>
          <t>actions_1c.set('</t>
        </is>
      </c>
      <c r="B22" t="inlineStr">
        <is>
          <t>Сеанс. Ошибка применения расширения конфигурации</t>
        </is>
      </c>
      <c r="C22" s="26" t="inlineStr">
        <is>
          <t>','</t>
        </is>
      </c>
      <c r="D22" t="inlineStr">
        <is>
          <t>_$Session$_.ConfigExtensionApplyError</t>
        </is>
      </c>
      <c r="E22" s="27" t="inlineStr">
        <is>
          <t>');</t>
        </is>
      </c>
      <c r="F22">
        <f>CONCATENATE(A22,D22,C22,B22,E22)</f>
        <v/>
      </c>
    </row>
    <row r="23">
      <c r="A23" t="inlineStr">
        <is>
          <t>actions_1c.set('</t>
        </is>
      </c>
      <c r="B23" t="inlineStr">
        <is>
          <t>Транзакция. Начало</t>
        </is>
      </c>
      <c r="C23" s="26" t="inlineStr">
        <is>
          <t>','</t>
        </is>
      </c>
      <c r="D23" t="inlineStr">
        <is>
          <t>_$Transaction$_.Begin</t>
        </is>
      </c>
      <c r="E23" s="27" t="inlineStr">
        <is>
          <t>');</t>
        </is>
      </c>
      <c r="F23">
        <f>CONCATENATE(A23,D23,C23,B23,E23)</f>
        <v/>
      </c>
    </row>
    <row r="24">
      <c r="A24" t="inlineStr">
        <is>
          <t>actions_1c.set('</t>
        </is>
      </c>
      <c r="B24" t="inlineStr">
        <is>
          <t>Транзакция. Отмена</t>
        </is>
      </c>
      <c r="C24" s="26" t="inlineStr">
        <is>
          <t>','</t>
        </is>
      </c>
      <c r="D24" t="inlineStr">
        <is>
          <t>_$Transaction$_.Rollback</t>
        </is>
      </c>
      <c r="E24" s="27" t="inlineStr">
        <is>
          <t>');</t>
        </is>
      </c>
      <c r="F24">
        <f>CONCATENATE(A24,D24,C24,B24,E24)</f>
        <v/>
      </c>
    </row>
    <row r="25">
      <c r="A25" t="inlineStr">
        <is>
          <t>actions_1c.set('</t>
        </is>
      </c>
      <c r="B25" t="inlineStr">
        <is>
          <t>Транзакция. Фиксация</t>
        </is>
      </c>
      <c r="C25" s="26" t="inlineStr">
        <is>
          <t>','</t>
        </is>
      </c>
      <c r="D25" t="inlineStr">
        <is>
          <t>_$Transaction$_.Commit</t>
        </is>
      </c>
      <c r="E25" s="27" t="inlineStr">
        <is>
          <t>');</t>
        </is>
      </c>
      <c r="F25">
        <f>CONCATENATE(A25,D25,C25,B25,E25)</f>
        <v/>
      </c>
    </row>
    <row r="26">
      <c r="A26" t="inlineStr">
        <is>
          <t>actions_1c.set('</t>
        </is>
      </c>
      <c r="B26" t="inlineStr">
        <is>
          <t>Фоновое задание. Запуск</t>
        </is>
      </c>
      <c r="C26" s="26" t="inlineStr">
        <is>
          <t>','</t>
        </is>
      </c>
      <c r="D26" t="inlineStr">
        <is>
          <t>_$Job$_.Start</t>
        </is>
      </c>
      <c r="E26" s="27" t="inlineStr">
        <is>
          <t>');</t>
        </is>
      </c>
      <c r="F26">
        <f>CONCATENATE(A26,D26,C26,B26,E26)</f>
        <v/>
      </c>
    </row>
    <row r="27">
      <c r="A27" t="inlineStr">
        <is>
          <t>actions_1c.set('</t>
        </is>
      </c>
      <c r="B27" t="inlineStr">
        <is>
          <t>Фоновое задание. Отмена</t>
        </is>
      </c>
      <c r="C27" s="26" t="inlineStr">
        <is>
          <t>','</t>
        </is>
      </c>
      <c r="D27" t="inlineStr">
        <is>
          <t>_$Job$_.Cancel</t>
        </is>
      </c>
      <c r="E27" s="27" t="inlineStr">
        <is>
          <t>');</t>
        </is>
      </c>
      <c r="F27">
        <f>CONCATENATE(A27,D27,C27,B27,E27)</f>
        <v/>
      </c>
    </row>
    <row r="28">
      <c r="A28" t="inlineStr">
        <is>
          <t>actions_1c.set('</t>
        </is>
      </c>
      <c r="B28" t="inlineStr">
        <is>
          <t>Фоновое задание. Ошибка выполнения</t>
        </is>
      </c>
      <c r="C28" s="26" t="inlineStr">
        <is>
          <t>','</t>
        </is>
      </c>
      <c r="D28" t="inlineStr">
        <is>
          <t>_$Job$_.Fail</t>
        </is>
      </c>
      <c r="E28" s="27" t="inlineStr">
        <is>
          <t>');</t>
        </is>
      </c>
      <c r="F28">
        <f>CONCATENATE(A28,D28,C28,B28,E28)</f>
        <v/>
      </c>
    </row>
    <row r="29">
      <c r="A29" t="inlineStr">
        <is>
          <t>actions_1c.set('</t>
        </is>
      </c>
      <c r="B29" t="inlineStr">
        <is>
          <t>Фоновое задание. Успешное завершение</t>
        </is>
      </c>
      <c r="C29" s="26" t="inlineStr">
        <is>
          <t>','</t>
        </is>
      </c>
      <c r="D29" t="inlineStr">
        <is>
          <t>_$Job$_.Succeed</t>
        </is>
      </c>
      <c r="E29" s="27" t="inlineStr">
        <is>
          <t>');</t>
        </is>
      </c>
      <c r="F29">
        <f>CONCATENATE(A29,D29,C29,B29,E29)</f>
        <v/>
      </c>
    </row>
    <row r="30"/>
    <row r="31">
      <c r="B31" t="inlineStr">
        <is>
          <t>Здесь не всё актуально, последнее - в программе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</dc:creator>
  <dcterms:created xmlns:dcterms="http://purl.org/dc/terms/" xmlns:xsi="http://www.w3.org/2001/XMLSchema-instance" xsi:type="dcterms:W3CDTF">2018-03-09T14:37:44Z</dcterms:created>
  <dcterms:modified xmlns:dcterms="http://purl.org/dc/terms/" xmlns:xsi="http://www.w3.org/2001/XMLSchema-instance" xsi:type="dcterms:W3CDTF">2025-12-09T05:37:46Z</dcterms:modified>
  <cp:lastModifiedBy>me</cp:lastModifiedBy>
</cp:coreProperties>
</file>