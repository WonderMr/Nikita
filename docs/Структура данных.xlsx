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Journal2Ct\docs\"/>
    </mc:Choice>
  </mc:AlternateContent>
  <xr:revisionPtr revIDLastSave="0" documentId="13_ncr:1_{8DDFE2C3-6164-492D-B968-8C93753A89F9}" xr6:coauthVersionLast="45" xr6:coauthVersionMax="45" xr10:uidLastSave="{00000000-0000-0000-0000-000000000000}"/>
  <bookViews>
    <workbookView xWindow="-28920" yWindow="-120" windowWidth="29040" windowHeight="17610" xr2:uid="{00000000-000D-0000-FFFF-FFFF00000000}"/>
  </bookViews>
  <sheets>
    <sheet name="Новый шаблон ЖР" sheetId="5" r:id="rId1"/>
    <sheet name="Старый шаблон ЖР" sheetId="1" r:id="rId2"/>
    <sheet name="Поля Отбора" sheetId="2" r:id="rId3"/>
    <sheet name="События и соответствие" sheetId="3" r:id="rId4"/>
    <sheet name="Клиенты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8" i="5" l="1"/>
  <c r="F15" i="5" l="1"/>
  <c r="F14" i="5"/>
  <c r="F12" i="5"/>
  <c r="E15" i="5"/>
  <c r="E14" i="5"/>
  <c r="E12" i="5"/>
  <c r="E37" i="5"/>
  <c r="F5" i="5" l="1"/>
  <c r="E5" i="5"/>
  <c r="F16" i="5" l="1"/>
  <c r="F13" i="5"/>
  <c r="F11" i="5"/>
  <c r="F10" i="5"/>
  <c r="F9" i="5"/>
  <c r="F8" i="5"/>
  <c r="F7" i="5"/>
  <c r="F6" i="5"/>
  <c r="F4" i="5"/>
  <c r="F3" i="5"/>
  <c r="F2" i="5"/>
  <c r="F1" i="5"/>
  <c r="F22" i="5"/>
  <c r="F21" i="5"/>
  <c r="F20" i="5"/>
  <c r="E17" i="5"/>
  <c r="F17" i="5"/>
  <c r="E18" i="5"/>
  <c r="F18" i="5"/>
  <c r="E19" i="5"/>
  <c r="F19" i="5"/>
  <c r="E16" i="5"/>
  <c r="E13" i="5"/>
  <c r="E11" i="5"/>
  <c r="E7" i="5"/>
  <c r="E8" i="5"/>
  <c r="E9" i="5"/>
  <c r="E10" i="5"/>
  <c r="E6" i="5"/>
  <c r="E4" i="5"/>
  <c r="E3" i="5"/>
  <c r="E2" i="5"/>
  <c r="E39" i="5" l="1"/>
  <c r="B14" i="1"/>
  <c r="B12" i="1"/>
  <c r="B27" i="1" l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</author>
  </authors>
  <commentList>
    <comment ref="G26" authorId="0" shapeId="0" xr:uid="{0CCF1396-5051-44B4-8F3B-60D95BFF07B5}">
      <text>
        <r>
          <rPr>
            <b/>
            <sz val="9"/>
            <color indexed="81"/>
            <rFont val="Tahoma"/>
            <charset val="1"/>
          </rPr>
          <t>me:</t>
        </r>
        <r>
          <rPr>
            <sz val="9"/>
            <color indexed="81"/>
            <rFont val="Tahoma"/>
            <charset val="1"/>
          </rPr>
          <t xml:space="preserve">
в solr будет отправляться вычисленное значение области данных</t>
        </r>
      </text>
    </comment>
    <comment ref="G28" authorId="0" shapeId="0" xr:uid="{C8315C05-412A-4760-91EF-64F04DC57FA2}">
      <text>
        <r>
          <rPr>
            <b/>
            <sz val="9"/>
            <color indexed="81"/>
            <rFont val="Tahoma"/>
            <charset val="1"/>
          </rPr>
          <t>me:</t>
        </r>
        <r>
          <rPr>
            <sz val="9"/>
            <color indexed="81"/>
            <rFont val="Tahoma"/>
            <charset val="1"/>
          </rPr>
          <t xml:space="preserve">
в solr будет отправляться вычисленное значение области данных</t>
        </r>
      </text>
    </comment>
  </commentList>
</comments>
</file>

<file path=xl/sharedStrings.xml><?xml version="1.0" encoding="utf-8"?>
<sst xmlns="http://schemas.openxmlformats.org/spreadsheetml/2006/main" count="446" uniqueCount="227">
  <si>
    <t>,0</t>
  </si>
  <si>
    <t>,I</t>
  </si>
  <si>
    <t>,""</t>
  </si>
  <si>
    <t>,7</t>
  </si>
  <si>
    <t>,
{2,1,1,2,1}</t>
  </si>
  <si>
    <t>r1</t>
  </si>
  <si>
    <t>r2</t>
  </si>
  <si>
    <t>r3</t>
  </si>
  <si>
    <t>r4</t>
  </si>
  <si>
    <t>r5</t>
  </si>
  <si>
    <t>r7</t>
  </si>
  <si>
    <t>r9</t>
  </si>
  <si>
    <t>r6</t>
  </si>
  <si>
    <t>r8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</si>
  <si>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</si>
  <si>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</si>
  <si>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</si>
  <si>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</si>
  <si>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</si>
  <si>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</si>
  <si>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</si>
  <si>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</si>
  <si>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</si>
  <si>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</si>
  <si>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Дата и время в формате "yyyyMMddHHmmss"</t>
  </si>
  <si>
    <t>Статус транзакции – может принимать четыре значения "N" – "Отсутствует", "U" – "Зафиксирована", "R" – "Не завершена" и "C" – "Отменена"</t>
  </si>
  <si>
    <t>Транзакция в формате записи из двух элементов преобразованных в шестнадцатеричное число – первый – число секунд с 01.01.0001 00:00:00 умноженное на 10000, второй – номер транзакции</t>
  </si>
  <si>
    <t>Пользователь – указывается номер в массиве пользователей</t>
  </si>
  <si>
    <t>Компьютер – указывается номер в массиве компьютеров</t>
  </si>
  <si>
    <t>Приложение – указывается номер в массиве приложений</t>
  </si>
  <si>
    <t>Соединение – номер соединения</t>
  </si>
  <si>
    <t>Событие – указывается номер в массиве событий</t>
  </si>
  <si>
    <t>Важность – может принимать четыре значения – "I" – "Информация", "E" – "Ошибки", "W" – "Предупреждения" и "N" – "Примечания"</t>
  </si>
  <si>
    <t>Комментарий – любой текст в кавычках</t>
  </si>
  <si>
    <t>Метаданные – указывается номер в массиве метаданных</t>
  </si>
  <si>
    <t>Данные – самый хитрый элемент, содержащий вложенную запись</t>
  </si>
  <si>
    <t>Представление данных – текст в кавычках</t>
  </si>
  <si>
    <t>Сервер – указывается номер в массиве серверов</t>
  </si>
  <si>
    <t>Основной порт – указывается номер в массиве основных портов</t>
  </si>
  <si>
    <t>Вспомогательный порт – указывается номер в массиве вспомогательных портов</t>
  </si>
  <si>
    <t>Сеанс – номер сеанса</t>
  </si>
  <si>
    <t>Количество дополнительных метаданных, номера которых будут перечислены в следующих элементах записи.</t>
  </si>
  <si>
    <t>Тип Solr</t>
  </si>
  <si>
    <t>string</t>
  </si>
  <si>
    <t>string&amp;uuid</t>
  </si>
  <si>
    <t>string&amp;string</t>
  </si>
  <si>
    <t>int</t>
  </si>
  <si>
    <t>text</t>
  </si>
  <si>
    <t>\{(\d{14})</t>
  </si>
  <si>
    <t>,(\w)</t>
  </si>
  <si>
    <t>,\s*\r*\n\{([0-9abcdef]+,[0-9abcdef]+)\}</t>
  </si>
  <si>
    <t>,(\d+)</t>
  </si>
  <si>
    <t>,\d+</t>
  </si>
  <si>
    <t>,\s*\r*\n\{[\d,*]+\}\s*\r*\n\},*\r*\n*</t>
  </si>
  <si>
    <t>,"(.*?)"</t>
  </si>
  <si>
    <t>ДатаНачала</t>
  </si>
  <si>
    <t>ДатаОкончания</t>
  </si>
  <si>
    <t>Название 1С</t>
  </si>
  <si>
    <t>Пример данных</t>
  </si>
  <si>
    <t>Пользователь</t>
  </si>
  <si>
    <t>АгаповаЕД; Администратор</t>
  </si>
  <si>
    <t>Событие</t>
  </si>
  <si>
    <t>БИП:Новости.Обновление ИБ; Сеанс. Аутентификация; Сеанс. Завершение; Сеанс. Начало; Сеанс. Ошибка аутентифика...; Сеанс. Ошибка применения ...</t>
  </si>
  <si>
    <t>Компьютер</t>
  </si>
  <si>
    <t>ИмяПриложения</t>
  </si>
  <si>
    <t>Комментарий</t>
  </si>
  <si>
    <t>РабочийСервер</t>
  </si>
  <si>
    <t>ОсновнойIPПорт</t>
  </si>
  <si>
    <t>ВспомогательныйIPПорт</t>
  </si>
  <si>
    <t>Уровень</t>
  </si>
  <si>
    <t>СтатусТранзакции</t>
  </si>
  <si>
    <t>Нет транзакции; Отменена</t>
  </si>
  <si>
    <t>Ошибка; Информация; Примечание</t>
  </si>
  <si>
    <t>25 109</t>
  </si>
  <si>
    <t>2 560</t>
  </si>
  <si>
    <t>CDC-1CL-APP-05</t>
  </si>
  <si>
    <t>комментарий</t>
  </si>
  <si>
    <t>Веб-клиент; Конфигуратор</t>
  </si>
  <si>
    <t>CDC-1C-ADM-01; CDC-TERM-01</t>
  </si>
  <si>
    <t>12.03.2018  0:00:00</t>
  </si>
  <si>
    <t>14.03.2018  0:00:00</t>
  </si>
  <si>
    <t>_$Data$_.New</t>
  </si>
  <si>
    <t>Данные. Добавление</t>
  </si>
  <si>
    <t>_$Data$_.Update</t>
  </si>
  <si>
    <t>Данные. Изменение</t>
  </si>
  <si>
    <t>_$Data$_.TotalsMaxPeriodUpdate</t>
  </si>
  <si>
    <t>Данные. Изменение максимального периода рассчитанных итогов</t>
  </si>
  <si>
    <t>_$Data$_.PredefinedDataInitialization</t>
  </si>
  <si>
    <t>Данные. Инициализация предопределенных данных</t>
  </si>
  <si>
    <t>_$Data$_.Unpost</t>
  </si>
  <si>
    <t>Данные. Отмена проведения</t>
  </si>
  <si>
    <t>_$Data$_.Post</t>
  </si>
  <si>
    <t>Данные. Проведение</t>
  </si>
  <si>
    <t>_$Data$_.Delete</t>
  </si>
  <si>
    <t>Данные. Удаление</t>
  </si>
  <si>
    <t>_$Access$_.AccessDenied</t>
  </si>
  <si>
    <t>Доступ. Отказ в доступе</t>
  </si>
  <si>
    <t>_$InfoBase$_.ConfigUpdate</t>
  </si>
  <si>
    <t>Информационная база. Изменение конфигурации</t>
  </si>
  <si>
    <t>_$InfoBase$_.DBConfigUpdate</t>
  </si>
  <si>
    <t>Информационная база. Изменение конфигурации базы данных</t>
  </si>
  <si>
    <t>_$InfoBase$_.EventLogSettingsUpdate</t>
  </si>
  <si>
    <t>Информационная база. Изменение параметров журнала регистрации</t>
  </si>
  <si>
    <t>_$InfoBase$_.ConfigExtensionUpdate</t>
  </si>
  <si>
    <t>Информационная база. Изменение расширения конфигурации</t>
  </si>
  <si>
    <t>_$InfoBase$_.DBConfigExtensionUpdate</t>
  </si>
  <si>
    <t>Информационная база. Изменение расширения конфигурации базы данных</t>
  </si>
  <si>
    <t>_$PerformError$_</t>
  </si>
  <si>
    <t>Ошибка выполнения</t>
  </si>
  <si>
    <t>_$User$_.New</t>
  </si>
  <si>
    <t>Пользователи. Добавление</t>
  </si>
  <si>
    <t>_$User$_.Update</t>
  </si>
  <si>
    <t>Пользователи. Изменение</t>
  </si>
  <si>
    <t>_$User$_.Delete</t>
  </si>
  <si>
    <t>Пользователи. Удаление</t>
  </si>
  <si>
    <t>_$Session$_.Authentication</t>
  </si>
  <si>
    <t>Сеанс. Аутентификация</t>
  </si>
  <si>
    <t>_$Session$_.Finish</t>
  </si>
  <si>
    <t>Сеанс. Завершение</t>
  </si>
  <si>
    <t>_$Session$_.Start</t>
  </si>
  <si>
    <t>Сеанс. Начало</t>
  </si>
  <si>
    <t>_$Session$_.AuthenticationError</t>
  </si>
  <si>
    <t>Сеанс. Ошибка аутентификации</t>
  </si>
  <si>
    <t>_$Session$_.ConfigExtensionApplyError</t>
  </si>
  <si>
    <t>Сеанс. Ошибка применения расширения конфигурации</t>
  </si>
  <si>
    <t>_$Transaction$_.Begin</t>
  </si>
  <si>
    <t>Транзакция. Начало</t>
  </si>
  <si>
    <t>_$Transaction$_.Rollback</t>
  </si>
  <si>
    <t>Транзакция. Отмена</t>
  </si>
  <si>
    <t>_$Transaction$_.Commit</t>
  </si>
  <si>
    <t>Транзакция. Фиксация</t>
  </si>
  <si>
    <t>_$Job$_.Start</t>
  </si>
  <si>
    <t>Фоновое задание. Запуск</t>
  </si>
  <si>
    <t>_$Job$_.Cancel</t>
  </si>
  <si>
    <t>Фоновое задание. Отмена</t>
  </si>
  <si>
    <t>_$Job$_.Fail</t>
  </si>
  <si>
    <t>Фоновое задание. Ошибка выполнения</t>
  </si>
  <si>
    <t>_$Job$_.Succeed</t>
  </si>
  <si>
    <t>Фоновое задание. Успешное завершение</t>
  </si>
  <si>
    <t>actions_1c.set('</t>
  </si>
  <si>
    <t>','</t>
  </si>
  <si>
    <r>
      <t>'</t>
    </r>
    <r>
      <rPr>
        <sz val="10"/>
        <color rgb="FF000000"/>
        <rFont val="Courier New"/>
        <family val="3"/>
        <charset val="204"/>
      </rPr>
      <t>);</t>
    </r>
  </si>
  <si>
    <t>,"([.\n\{а-я\,\(\d\)\}\:\sa-z\=\;\-\/\"\_\\\?\#\«\»\!\'\&amp;\[\]\&lt;\&gt;\№\ё\%\$\@\#\^\&amp;\*]*?)"</t>
  </si>
  <si>
    <t>,\s*\r*\n\{([.\n\{а-я\,\(\d\)\}\:\sa-z\=\;\-\/\"\_\\\?\#\«\»\!\'\&amp;\[\]\&lt;\&gt;\№\ё\%\$\@\#\^\&amp;\*]*?)}</t>
  </si>
  <si>
    <t>Итог=</t>
  </si>
  <si>
    <t>Бэкап коммент=</t>
  </si>
  <si>
    <t>Бэкап данные=</t>
  </si>
  <si>
    <t>{20171121074156</t>
  </si>
  <si>
    <t>,N</t>
  </si>
  <si>
    <t>,
{0,0}</t>
  </si>
  <si>
    <t>,235</t>
  </si>
  <si>
    <t>,22</t>
  </si>
  <si>
    <t>,1</t>
  </si>
  <si>
    <t>,250462</t>
  </si>
  <si>
    <t>{"P",
{6,
{"S","Чтение"},
{"U"}
}
}</t>
  </si>
  <si>
    <t>,3</t>
  </si>
  <si>
    <t>,12</t>
  </si>
  <si>
    <t>,13036</t>
  </si>
  <si>
    <t>,24</t>
  </si>
  <si>
    <t>[,\d+]*</t>
  </si>
  <si>
    <t>Непонятное поле. Встретился в FIN</t>
  </si>
  <si>
    <t>[А-ЯA-Zа-яa-z\Ё\ё\d\n\r\s\.\,\:\;\(\)\{\}\&lt;\&gt;\[\]\«\»\=\/\~\'\"\_\\\#\!\&amp;\%\$\@\#\^\*\+\-\?\№]*</t>
  </si>
  <si>
    <t>[А-ЯA-Zа-яa-z\Ё\ё\d\n\r\s\.\,\:\;\(\)\&lt;\&gt;\[\]\«\»\=\/\~\'\"\_\\\#\!\&amp;\%\$\@\#\^\*\+\-\?\№]*</t>
  </si>
  <si>
    <t>ДанныеЧасть=</t>
  </si>
  <si>
    <t>КомменарийЧасть=</t>
  </si>
  <si>
    <t>МультиСтрока=</t>
  </si>
  <si>
    <t>\,*\r*\n*</t>
  </si>
  <si>
    <t>Это для точного склеивания результируюго файла, когда граница блока начинается с запятой</t>
  </si>
  <si>
    <t>\{</t>
  </si>
  <si>
    <t>\d{14}</t>
  </si>
  <si>
    <t>,</t>
  </si>
  <si>
    <t>\w</t>
  </si>
  <si>
    <t>,\r*\n\{</t>
  </si>
  <si>
    <t>\}</t>
  </si>
  <si>
    <t>\d+</t>
  </si>
  <si>
    <t>,"</t>
  </si>
  <si>
    <t>(?=",\d+,\r*\n)"</t>
  </si>
  <si>
    <t>(?=\},")</t>
  </si>
  <si>
    <t>\},"</t>
  </si>
  <si>
    <t>(?=",\d+)"</t>
  </si>
  <si>
    <t>Итог без скобок=</t>
  </si>
  <si>
    <t>text_simple</t>
  </si>
  <si>
    <t>[0-9a-f]+</t>
  </si>
  <si>
    <t>r3a</t>
  </si>
  <si>
    <t>Транзакция в формате записи из двух элементов преобразованных в шестнадцатеричное число – первый – число секунд с 01.01.0001 00:00:00 умноженное на 10000</t>
  </si>
  <si>
    <t>второй – номер транзакции</t>
  </si>
  <si>
    <t>plong</t>
  </si>
  <si>
    <t>Здесь не всё актуально, последнее - в программе</t>
  </si>
  <si>
    <t>Части мультистроки</t>
  </si>
  <si>
    <t>А-Я</t>
  </si>
  <si>
    <t>A-Z</t>
  </si>
  <si>
    <t>а-я</t>
  </si>
  <si>
    <t>a-z</t>
  </si>
  <si>
    <t>\Ё</t>
  </si>
  <si>
    <t>\ё</t>
  </si>
  <si>
    <t>\d</t>
  </si>
  <si>
    <t>\n</t>
  </si>
  <si>
    <t>\r</t>
  </si>
  <si>
    <t>\s</t>
  </si>
  <si>
    <t>\.\,\:\;\=</t>
  </si>
  <si>
    <t>\/\~\'\"</t>
  </si>
  <si>
    <t>\_\\\#</t>
  </si>
  <si>
    <t>\?\№\¶\|\–</t>
  </si>
  <si>
    <t>\(\)\{\}\&lt;\&gt;\[\]\«\»</t>
  </si>
  <si>
    <t>\!\&amp;\%\$\@\^\*\+\-</t>
  </si>
  <si>
    <t>\µ\ø\°\⁰\¹\²\³\½\¼\¾\®\©\™\±\≠\≤\≥\÷\×\∞\α\β\π\Ω\∑\€\£\¥</t>
  </si>
  <si>
    <t>\¡\¢\¤\¦\§\¨\ª\¬\¯\´\¶\·\¸\º\¿\×\Ø\ß\Þ\æ\`\~</t>
  </si>
  <si>
    <t>Старая</t>
  </si>
  <si>
    <t>Новая</t>
  </si>
  <si>
    <t>ꡏ</t>
  </si>
  <si>
    <t>[^ꡏ]*?</t>
  </si>
  <si>
    <t>\}\r*\n\},*\r*\n*</t>
  </si>
  <si>
    <t>,
{</t>
  </si>
  <si>
    <t>|1,2,3,4,5</t>
  </si>
  <si>
    <t>},</t>
  </si>
  <si>
    <t>(</t>
  </si>
  <si>
    <t>(\d+)</t>
  </si>
  <si>
    <t>)</t>
  </si>
  <si>
    <t>всё содержимое блока</t>
  </si>
  <si>
    <t>если есть этот, то сценарий номер 1</t>
  </si>
  <si>
    <t>если есть этот, то основные и дополнительные данные</t>
  </si>
  <si>
    <t>закрытие блока</t>
  </si>
  <si>
    <t>|\d+,(\d+),(\d+),(\d+),(\d+)</t>
  </si>
  <si>
    <t>|\d+</t>
  </si>
  <si>
    <t>Это номер на ссылку по такой структуре ["N",id_области},id_осн_или_вспом, этот номер)</t>
  </si>
  <si>
    <r>
      <t xml:space="preserve">Это - ссылка на область признак области данных - основные или </t>
    </r>
    <r>
      <rPr>
        <b/>
        <sz val="11"/>
        <color theme="1"/>
        <rFont val="Calibri"/>
        <family val="2"/>
        <charset val="204"/>
        <scheme val="minor"/>
      </rPr>
      <t>вспомогательные</t>
    </r>
    <r>
      <rPr>
        <sz val="11"/>
        <color theme="1"/>
        <rFont val="Calibri"/>
        <family val="2"/>
        <charset val="204"/>
        <scheme val="minor"/>
      </rPr>
      <t xml:space="preserve"> и массива {9,</t>
    </r>
  </si>
  <si>
    <r>
      <t xml:space="preserve">Это - ссылка на область признак области данных - </t>
    </r>
    <r>
      <rPr>
        <b/>
        <sz val="11"/>
        <color theme="1"/>
        <rFont val="Calibri"/>
        <family val="2"/>
        <charset val="204"/>
        <scheme val="minor"/>
      </rPr>
      <t>основные</t>
    </r>
    <r>
      <rPr>
        <sz val="11"/>
        <color theme="1"/>
        <rFont val="Calibri"/>
        <family val="2"/>
        <charset val="204"/>
        <scheme val="minor"/>
      </rPr>
      <t xml:space="preserve"> или вспомогательные и массива {9,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</si>
</sst>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0"/>
      <color rgb="FF008000"/>
      <name val="Courier New"/>
      <family val="3"/>
      <charset val="204"/>
    </font>
    <font>
      <b/>
      <sz val="11"/>
      <color rgb="FF3F3F3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2" applyNumberFormat="0" applyAlignment="0" applyProtection="0"/>
    <xf numFmtId="0" fontId="6" fillId="9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1" applyBorder="1"/>
    <xf numFmtId="0" fontId="2" fillId="2" borderId="1" xfId="1" applyBorder="1" applyAlignment="1">
      <alignment wrapText="1"/>
    </xf>
    <xf numFmtId="0" fontId="1" fillId="3" borderId="1" xfId="2" applyBorder="1"/>
    <xf numFmtId="0" fontId="1" fillId="3" borderId="1" xfId="2" applyBorder="1" applyAlignment="1">
      <alignment wrapText="1"/>
    </xf>
    <xf numFmtId="0" fontId="2" fillId="2" borderId="1" xfId="1" quotePrefix="1" applyBorder="1"/>
    <xf numFmtId="0" fontId="1" fillId="4" borderId="1" xfId="3" quotePrefix="1" applyBorder="1"/>
    <xf numFmtId="0" fontId="1" fillId="4" borderId="1" xfId="3" applyBorder="1"/>
    <xf numFmtId="0" fontId="1" fillId="4" borderId="1" xfId="3" applyBorder="1" applyAlignment="1">
      <alignment wrapText="1"/>
    </xf>
    <xf numFmtId="0" fontId="1" fillId="6" borderId="1" xfId="5" quotePrefix="1" applyBorder="1"/>
    <xf numFmtId="0" fontId="1" fillId="6" borderId="1" xfId="5" applyBorder="1"/>
    <xf numFmtId="0" fontId="1" fillId="6" borderId="1" xfId="5" applyBorder="1" applyAlignment="1">
      <alignment wrapText="1"/>
    </xf>
    <xf numFmtId="0" fontId="1" fillId="5" borderId="1" xfId="4" quotePrefix="1" applyBorder="1"/>
    <xf numFmtId="0" fontId="1" fillId="5" borderId="1" xfId="4" applyBorder="1"/>
    <xf numFmtId="0" fontId="1" fillId="5" borderId="1" xfId="4" applyBorder="1" applyAlignment="1">
      <alignment wrapText="1"/>
    </xf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3" borderId="1" xfId="2" quotePrefix="1" applyFont="1" applyBorder="1"/>
    <xf numFmtId="0" fontId="0" fillId="4" borderId="1" xfId="3" quotePrefix="1" applyFont="1" applyBorder="1"/>
    <xf numFmtId="0" fontId="0" fillId="6" borderId="1" xfId="5" quotePrefix="1" applyFont="1" applyBorder="1"/>
    <xf numFmtId="0" fontId="0" fillId="5" borderId="1" xfId="4" quotePrefix="1" applyFont="1" applyBorder="1"/>
    <xf numFmtId="0" fontId="0" fillId="5" borderId="1" xfId="4" applyFont="1" applyBorder="1"/>
    <xf numFmtId="22" fontId="0" fillId="0" borderId="0" xfId="0" quotePrefix="1" applyNumberFormat="1"/>
    <xf numFmtId="0" fontId="0" fillId="0" borderId="0" xfId="0" quotePrefix="1"/>
    <xf numFmtId="0" fontId="4" fillId="0" borderId="0" xfId="0" quotePrefix="1" applyFont="1" applyAlignment="1">
      <alignment vertical="center"/>
    </xf>
    <xf numFmtId="0" fontId="5" fillId="7" borderId="2" xfId="6"/>
    <xf numFmtId="0" fontId="1" fillId="6" borderId="3" xfId="5" applyBorder="1"/>
    <xf numFmtId="0" fontId="0" fillId="0" borderId="0" xfId="0" quotePrefix="1" applyAlignment="1">
      <alignment wrapText="1"/>
    </xf>
    <xf numFmtId="0" fontId="0" fillId="5" borderId="1" xfId="4" applyFont="1" applyBorder="1" applyAlignment="1">
      <alignment wrapText="1"/>
    </xf>
    <xf numFmtId="0" fontId="6" fillId="9" borderId="1" xfId="7" applyBorder="1"/>
    <xf numFmtId="0" fontId="6" fillId="9" borderId="1" xfId="7" applyBorder="1" applyAlignment="1">
      <alignment wrapText="1"/>
    </xf>
    <xf numFmtId="0" fontId="0" fillId="8" borderId="0" xfId="0" applyFill="1"/>
    <xf numFmtId="0" fontId="0" fillId="6" borderId="1" xfId="5" applyFont="1" applyBorder="1"/>
    <xf numFmtId="0" fontId="0" fillId="8" borderId="1" xfId="0" applyFill="1" applyBorder="1"/>
    <xf numFmtId="0" fontId="0" fillId="8" borderId="1" xfId="4" quotePrefix="1" applyFont="1" applyFill="1" applyBorder="1"/>
    <xf numFmtId="0" fontId="0" fillId="8" borderId="1" xfId="0" applyFill="1" applyBorder="1" applyAlignment="1">
      <alignment wrapText="1"/>
    </xf>
    <xf numFmtId="0" fontId="0" fillId="8" borderId="1" xfId="4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3" xfId="0" applyFill="1" applyBorder="1"/>
    <xf numFmtId="0" fontId="0" fillId="0" borderId="0" xfId="0" quotePrefix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8" borderId="0" xfId="4" quotePrefix="1" applyFont="1" applyFill="1" applyBorder="1"/>
    <xf numFmtId="0" fontId="0" fillId="0" borderId="0" xfId="0" applyFill="1" applyBorder="1" applyAlignment="1">
      <alignment wrapText="1"/>
    </xf>
    <xf numFmtId="0" fontId="0" fillId="0" borderId="0" xfId="0" applyBorder="1" applyAlignment="1">
      <alignment horizontal="center"/>
    </xf>
  </cellXfs>
  <cellStyles count="8">
    <cellStyle name="40% — акцент1" xfId="2" builtinId="31"/>
    <cellStyle name="40% — акцент2" xfId="3" builtinId="35"/>
    <cellStyle name="40% — акцент4" xfId="4" builtinId="43"/>
    <cellStyle name="40% — акцент6" xfId="5" builtinId="51"/>
    <cellStyle name="Акцент6" xfId="7" builtinId="49"/>
    <cellStyle name="Вывод" xfId="6" builtinId="21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179D-360C-4D7F-9838-2A709244A24E}">
  <dimension ref="A1:I47"/>
  <sheetViews>
    <sheetView tabSelected="1" topLeftCell="A10" workbookViewId="0">
      <selection activeCell="G26" sqref="G26:G27"/>
    </sheetView>
  </sheetViews>
  <sheetFormatPr defaultRowHeight="15" x14ac:dyDescent="0.25"/>
  <cols>
    <col min="1" max="1" width="24.5703125" customWidth="1"/>
    <col min="2" max="2" width="8.5703125" bestFit="1" customWidth="1"/>
    <col min="3" max="3" width="17" customWidth="1"/>
    <col min="4" max="4" width="15" bestFit="1" customWidth="1"/>
    <col min="5" max="5" width="32.28515625" customWidth="1"/>
    <col min="6" max="6" width="30.7109375" customWidth="1"/>
    <col min="7" max="7" width="7" bestFit="1" customWidth="1"/>
    <col min="8" max="8" width="112.28515625" style="1" customWidth="1"/>
    <col min="9" max="9" width="12.42578125" bestFit="1" customWidth="1"/>
  </cols>
  <sheetData>
    <row r="1" spans="1:9" x14ac:dyDescent="0.25">
      <c r="A1" s="2"/>
      <c r="B1" s="2"/>
      <c r="C1" s="2"/>
      <c r="D1" s="2"/>
      <c r="E1" s="2" t="s">
        <v>166</v>
      </c>
      <c r="F1" s="2" t="str">
        <f>E1</f>
        <v>\,*\r*\n*</v>
      </c>
      <c r="G1" s="2"/>
      <c r="H1" s="3" t="s">
        <v>167</v>
      </c>
      <c r="I1" s="2" t="s">
        <v>42</v>
      </c>
    </row>
    <row r="2" spans="1:9" x14ac:dyDescent="0.25">
      <c r="A2" s="13" t="s">
        <v>147</v>
      </c>
      <c r="B2" s="13" t="s">
        <v>168</v>
      </c>
      <c r="C2" s="13" t="s">
        <v>169</v>
      </c>
      <c r="D2" s="13"/>
      <c r="E2" s="13" t="str">
        <f>B2&amp;"("&amp;C2&amp;")"&amp;D2</f>
        <v>\{(\d{14})</v>
      </c>
      <c r="F2" s="13" t="str">
        <f t="shared" ref="F2:F11" si="0">B2&amp;C2&amp;D2</f>
        <v>\{\d{14}</v>
      </c>
      <c r="G2" s="13" t="s">
        <v>5</v>
      </c>
      <c r="H2" s="13" t="s">
        <v>24</v>
      </c>
      <c r="I2" s="13" t="s">
        <v>186</v>
      </c>
    </row>
    <row r="3" spans="1:9" ht="30" x14ac:dyDescent="0.25">
      <c r="A3" s="4" t="s">
        <v>148</v>
      </c>
      <c r="B3" s="4" t="s">
        <v>170</v>
      </c>
      <c r="C3" s="4" t="s">
        <v>171</v>
      </c>
      <c r="D3" s="4"/>
      <c r="E3" s="4" t="str">
        <f>B3&amp;"("&amp;C3&amp;")"&amp;D3</f>
        <v>,(\w)</v>
      </c>
      <c r="F3" s="4" t="str">
        <f t="shared" si="0"/>
        <v>,\w</v>
      </c>
      <c r="G3" s="4" t="s">
        <v>6</v>
      </c>
      <c r="H3" s="5" t="s">
        <v>25</v>
      </c>
      <c r="I3" s="4" t="s">
        <v>43</v>
      </c>
    </row>
    <row r="4" spans="1:9" x14ac:dyDescent="0.25">
      <c r="A4" s="13" t="s">
        <v>149</v>
      </c>
      <c r="B4" s="13" t="s">
        <v>172</v>
      </c>
      <c r="C4" s="13" t="s">
        <v>182</v>
      </c>
      <c r="D4" s="13"/>
      <c r="E4" s="13" t="str">
        <f>B4&amp;"("&amp;C4&amp;")"&amp;D4</f>
        <v>,\r*\n\{([0-9a-f]+)</v>
      </c>
      <c r="F4" s="13" t="str">
        <f t="shared" si="0"/>
        <v>,\r*\n\{[0-9a-f]+</v>
      </c>
      <c r="G4" s="13" t="s">
        <v>7</v>
      </c>
      <c r="H4" s="35" t="s">
        <v>184</v>
      </c>
      <c r="I4" s="13" t="s">
        <v>186</v>
      </c>
    </row>
    <row r="5" spans="1:9" x14ac:dyDescent="0.25">
      <c r="A5" s="13"/>
      <c r="B5" s="13" t="s">
        <v>170</v>
      </c>
      <c r="C5" s="13" t="s">
        <v>182</v>
      </c>
      <c r="D5" s="13" t="s">
        <v>173</v>
      </c>
      <c r="E5" s="13" t="str">
        <f>B5&amp;"("&amp;C5&amp;")"&amp;D5</f>
        <v>,([0-9a-f]+)\}</v>
      </c>
      <c r="F5" s="13" t="str">
        <f t="shared" si="0"/>
        <v>,[0-9a-f]+\}</v>
      </c>
      <c r="G5" s="13" t="s">
        <v>183</v>
      </c>
      <c r="H5" s="13" t="s">
        <v>185</v>
      </c>
      <c r="I5" s="13" t="s">
        <v>186</v>
      </c>
    </row>
    <row r="6" spans="1:9" x14ac:dyDescent="0.25">
      <c r="A6" s="13" t="s">
        <v>150</v>
      </c>
      <c r="B6" s="13" t="s">
        <v>170</v>
      </c>
      <c r="C6" s="13" t="s">
        <v>174</v>
      </c>
      <c r="D6" s="13"/>
      <c r="E6" s="13" t="str">
        <f>B6&amp;"("&amp;C6&amp;")"&amp;D6</f>
        <v>,(\d+)</v>
      </c>
      <c r="F6" s="13" t="str">
        <f t="shared" si="0"/>
        <v>,\d+</v>
      </c>
      <c r="G6" s="13" t="s">
        <v>8</v>
      </c>
      <c r="H6" s="13" t="s">
        <v>27</v>
      </c>
      <c r="I6" s="13" t="s">
        <v>46</v>
      </c>
    </row>
    <row r="7" spans="1:9" x14ac:dyDescent="0.25">
      <c r="A7" s="13" t="s">
        <v>151</v>
      </c>
      <c r="B7" s="13" t="s">
        <v>170</v>
      </c>
      <c r="C7" s="13" t="s">
        <v>174</v>
      </c>
      <c r="D7" s="13"/>
      <c r="E7" s="13" t="str">
        <f t="shared" ref="E7:E10" si="1">B7&amp;"("&amp;C7&amp;")"&amp;D7</f>
        <v>,(\d+)</v>
      </c>
      <c r="F7" s="13" t="str">
        <f t="shared" si="0"/>
        <v>,\d+</v>
      </c>
      <c r="G7" s="13" t="s">
        <v>9</v>
      </c>
      <c r="H7" s="13" t="s">
        <v>28</v>
      </c>
      <c r="I7" s="13" t="s">
        <v>46</v>
      </c>
    </row>
    <row r="8" spans="1:9" x14ac:dyDescent="0.25">
      <c r="A8" s="13" t="s">
        <v>152</v>
      </c>
      <c r="B8" s="13" t="s">
        <v>170</v>
      </c>
      <c r="C8" s="13" t="s">
        <v>174</v>
      </c>
      <c r="D8" s="13"/>
      <c r="E8" s="13" t="str">
        <f t="shared" si="1"/>
        <v>,(\d+)</v>
      </c>
      <c r="F8" s="13" t="str">
        <f t="shared" si="0"/>
        <v>,\d+</v>
      </c>
      <c r="G8" s="13" t="s">
        <v>12</v>
      </c>
      <c r="H8" s="13" t="s">
        <v>29</v>
      </c>
      <c r="I8" s="13" t="s">
        <v>46</v>
      </c>
    </row>
    <row r="9" spans="1:9" x14ac:dyDescent="0.25">
      <c r="A9" s="22" t="s">
        <v>153</v>
      </c>
      <c r="B9" s="12" t="s">
        <v>170</v>
      </c>
      <c r="C9" s="12" t="s">
        <v>174</v>
      </c>
      <c r="D9" s="12"/>
      <c r="E9" s="13" t="str">
        <f t="shared" si="1"/>
        <v>,(\d+)</v>
      </c>
      <c r="F9" s="13" t="str">
        <f t="shared" si="0"/>
        <v>,\d+</v>
      </c>
      <c r="G9" s="13" t="s">
        <v>10</v>
      </c>
      <c r="H9" s="14" t="s">
        <v>30</v>
      </c>
      <c r="I9" s="13" t="s">
        <v>46</v>
      </c>
    </row>
    <row r="10" spans="1:9" x14ac:dyDescent="0.25">
      <c r="A10" s="13" t="s">
        <v>3</v>
      </c>
      <c r="B10" s="13" t="s">
        <v>170</v>
      </c>
      <c r="C10" s="13" t="s">
        <v>174</v>
      </c>
      <c r="D10" s="13"/>
      <c r="E10" s="13" t="str">
        <f t="shared" si="1"/>
        <v>,(\d+)</v>
      </c>
      <c r="F10" s="13" t="str">
        <f t="shared" si="0"/>
        <v>,\d+</v>
      </c>
      <c r="G10" s="13" t="s">
        <v>13</v>
      </c>
      <c r="H10" s="13" t="s">
        <v>31</v>
      </c>
      <c r="I10" s="13" t="s">
        <v>46</v>
      </c>
    </row>
    <row r="11" spans="1:9" ht="30" x14ac:dyDescent="0.25">
      <c r="A11" s="8" t="s">
        <v>1</v>
      </c>
      <c r="B11" s="4" t="s">
        <v>170</v>
      </c>
      <c r="C11" s="4" t="s">
        <v>171</v>
      </c>
      <c r="D11" s="8"/>
      <c r="E11" s="4" t="str">
        <f t="shared" ref="E11" si="2">B11&amp;"("&amp;C11&amp;")"&amp;D11</f>
        <v>,(\w)</v>
      </c>
      <c r="F11" s="4" t="str">
        <f t="shared" si="0"/>
        <v>,\w</v>
      </c>
      <c r="G11" s="4" t="s">
        <v>11</v>
      </c>
      <c r="H11" s="5" t="s">
        <v>32</v>
      </c>
      <c r="I11" s="4" t="s">
        <v>43</v>
      </c>
    </row>
    <row r="12" spans="1:9" x14ac:dyDescent="0.25">
      <c r="A12" s="15" t="s">
        <v>2</v>
      </c>
      <c r="B12" s="15" t="s">
        <v>175</v>
      </c>
      <c r="C12" s="15"/>
      <c r="D12" s="15" t="s">
        <v>176</v>
      </c>
      <c r="E12" s="16" t="str">
        <f>B12&amp;"("&amp;E36&amp;")"&amp;D12</f>
        <v>,"([^ꡏ]*?)(?=",\d+,\r*\n)"</v>
      </c>
      <c r="F12" s="16" t="str">
        <f>B12&amp;E36&amp;D12</f>
        <v>,"[^ꡏ]*?(?=",\d+,\r*\n)"</v>
      </c>
      <c r="G12" s="16" t="s">
        <v>14</v>
      </c>
      <c r="H12" s="17" t="s">
        <v>33</v>
      </c>
      <c r="I12" s="16" t="s">
        <v>181</v>
      </c>
    </row>
    <row r="13" spans="1:9" x14ac:dyDescent="0.25">
      <c r="A13" s="13" t="s">
        <v>0</v>
      </c>
      <c r="B13" s="13" t="s">
        <v>170</v>
      </c>
      <c r="C13" s="13" t="s">
        <v>174</v>
      </c>
      <c r="D13" s="13"/>
      <c r="E13" s="13" t="str">
        <f>B13&amp;"("&amp;C13&amp;")"&amp;D13</f>
        <v>,(\d+)</v>
      </c>
      <c r="F13" s="13" t="str">
        <f>B13&amp;C13&amp;D13</f>
        <v>,\d+</v>
      </c>
      <c r="G13" s="13" t="s">
        <v>15</v>
      </c>
      <c r="H13" s="13" t="s">
        <v>34</v>
      </c>
      <c r="I13" s="13" t="s">
        <v>46</v>
      </c>
    </row>
    <row r="14" spans="1:9" ht="90" x14ac:dyDescent="0.25">
      <c r="A14" s="31" t="s">
        <v>154</v>
      </c>
      <c r="B14" s="31" t="s">
        <v>172</v>
      </c>
      <c r="C14" s="31"/>
      <c r="D14" s="31" t="s">
        <v>177</v>
      </c>
      <c r="E14" s="23" t="str">
        <f>B14&amp;"("&amp;E36&amp;")"&amp;D14</f>
        <v>,\r*\n\{([^ꡏ]*?)(?=\},")</v>
      </c>
      <c r="F14" s="23" t="str">
        <f>B14&amp;E36&amp;D14</f>
        <v>,\r*\n\{[^ꡏ]*?(?=\},")</v>
      </c>
      <c r="G14" s="16" t="s">
        <v>16</v>
      </c>
      <c r="H14" s="17" t="s">
        <v>35</v>
      </c>
      <c r="I14" s="16" t="s">
        <v>181</v>
      </c>
    </row>
    <row r="15" spans="1:9" x14ac:dyDescent="0.25">
      <c r="A15" s="16" t="s">
        <v>2</v>
      </c>
      <c r="B15" s="16" t="s">
        <v>178</v>
      </c>
      <c r="C15" s="16"/>
      <c r="D15" s="16" t="s">
        <v>179</v>
      </c>
      <c r="E15" s="16" t="str">
        <f>B15&amp;"("&amp;E36&amp;")"&amp;D15</f>
        <v>\},"([^ꡏ]*?)(?=",\d+)"</v>
      </c>
      <c r="F15" s="16" t="str">
        <f>B15&amp;E36&amp;D15</f>
        <v>\},"[^ꡏ]*?(?=",\d+)"</v>
      </c>
      <c r="G15" s="16" t="s">
        <v>17</v>
      </c>
      <c r="H15" s="16" t="s">
        <v>36</v>
      </c>
      <c r="I15" s="16" t="s">
        <v>181</v>
      </c>
    </row>
    <row r="16" spans="1:9" x14ac:dyDescent="0.25">
      <c r="A16" s="8" t="s">
        <v>155</v>
      </c>
      <c r="B16" s="8" t="s">
        <v>170</v>
      </c>
      <c r="C16" s="13" t="s">
        <v>174</v>
      </c>
      <c r="D16" s="13"/>
      <c r="E16" s="13" t="str">
        <f>B16&amp;"("&amp;C16&amp;")"&amp;D16</f>
        <v>,(\d+)</v>
      </c>
      <c r="F16" s="13" t="str">
        <f>B16&amp;C16&amp;D16</f>
        <v>,\d+</v>
      </c>
      <c r="G16" s="13" t="s">
        <v>18</v>
      </c>
      <c r="H16" s="13" t="s">
        <v>37</v>
      </c>
      <c r="I16" s="13" t="s">
        <v>46</v>
      </c>
    </row>
    <row r="17" spans="1:9" x14ac:dyDescent="0.25">
      <c r="A17" s="22" t="s">
        <v>156</v>
      </c>
      <c r="B17" s="12" t="s">
        <v>170</v>
      </c>
      <c r="C17" s="12" t="s">
        <v>174</v>
      </c>
      <c r="D17" s="12"/>
      <c r="E17" s="12" t="str">
        <f t="shared" ref="E17:E19" si="3">B17&amp;"("&amp;C17&amp;")"&amp;D17</f>
        <v>,(\d+)</v>
      </c>
      <c r="F17" s="12" t="str">
        <f t="shared" ref="F17:F19" si="4">B17&amp;C17&amp;D17</f>
        <v>,\d+</v>
      </c>
      <c r="G17" s="13" t="s">
        <v>19</v>
      </c>
      <c r="H17" s="14" t="s">
        <v>38</v>
      </c>
      <c r="I17" s="13" t="s">
        <v>46</v>
      </c>
    </row>
    <row r="18" spans="1:9" x14ac:dyDescent="0.25">
      <c r="A18" s="12" t="s">
        <v>0</v>
      </c>
      <c r="B18" s="12" t="s">
        <v>170</v>
      </c>
      <c r="C18" s="12" t="s">
        <v>174</v>
      </c>
      <c r="D18" s="12"/>
      <c r="E18" s="12" t="str">
        <f t="shared" si="3"/>
        <v>,(\d+)</v>
      </c>
      <c r="F18" s="12" t="str">
        <f t="shared" si="4"/>
        <v>,\d+</v>
      </c>
      <c r="G18" s="13" t="s">
        <v>20</v>
      </c>
      <c r="H18" s="14" t="s">
        <v>39</v>
      </c>
      <c r="I18" s="13" t="s">
        <v>46</v>
      </c>
    </row>
    <row r="19" spans="1:9" x14ac:dyDescent="0.25">
      <c r="A19" s="22" t="s">
        <v>157</v>
      </c>
      <c r="B19" s="12" t="s">
        <v>170</v>
      </c>
      <c r="C19" s="12" t="s">
        <v>174</v>
      </c>
      <c r="D19" s="12"/>
      <c r="E19" s="12" t="str">
        <f t="shared" si="3"/>
        <v>,(\d+)</v>
      </c>
      <c r="F19" s="12" t="str">
        <f t="shared" si="4"/>
        <v>,\d+</v>
      </c>
      <c r="G19" s="13" t="s">
        <v>21</v>
      </c>
      <c r="H19" s="14" t="s">
        <v>40</v>
      </c>
      <c r="I19" s="13" t="s">
        <v>46</v>
      </c>
    </row>
    <row r="20" spans="1:9" x14ac:dyDescent="0.25">
      <c r="A20" s="18" t="s">
        <v>152</v>
      </c>
      <c r="B20" s="18"/>
      <c r="C20" s="18"/>
      <c r="D20" s="18"/>
      <c r="E20" s="18" t="s">
        <v>52</v>
      </c>
      <c r="F20" s="18" t="str">
        <f>E20</f>
        <v>,\d+</v>
      </c>
      <c r="G20" s="2"/>
      <c r="H20" s="3" t="s">
        <v>41</v>
      </c>
      <c r="I20" s="2"/>
    </row>
    <row r="21" spans="1:9" x14ac:dyDescent="0.25">
      <c r="A21" s="18" t="s">
        <v>158</v>
      </c>
      <c r="B21" s="18"/>
      <c r="C21" s="18"/>
      <c r="D21" s="18"/>
      <c r="E21" s="18" t="s">
        <v>159</v>
      </c>
      <c r="F21" s="18" t="str">
        <f>E21</f>
        <v>[,\d+]*</v>
      </c>
      <c r="G21" s="2"/>
      <c r="H21" s="3" t="s">
        <v>160</v>
      </c>
      <c r="I21" s="2"/>
    </row>
    <row r="22" spans="1:9" ht="30" x14ac:dyDescent="0.25">
      <c r="A22" s="19" t="s">
        <v>212</v>
      </c>
      <c r="B22" s="19"/>
      <c r="C22" s="19"/>
      <c r="D22" s="19"/>
      <c r="E22" s="19" t="s">
        <v>172</v>
      </c>
      <c r="F22" s="19" t="str">
        <f>E22</f>
        <v>,\r*\n\{</v>
      </c>
      <c r="H22" s="3"/>
      <c r="I22" s="2"/>
    </row>
    <row r="23" spans="1:9" x14ac:dyDescent="0.25">
      <c r="A23" s="43">
        <v>0</v>
      </c>
      <c r="B23" s="43"/>
      <c r="C23" s="43"/>
      <c r="D23" s="43"/>
      <c r="E23" s="43" t="s">
        <v>215</v>
      </c>
      <c r="F23" s="43" t="s">
        <v>215</v>
      </c>
      <c r="G23" s="2"/>
      <c r="H23" s="45" t="s">
        <v>218</v>
      </c>
      <c r="I23" s="44" t="s">
        <v>46</v>
      </c>
    </row>
    <row r="24" spans="1:9" x14ac:dyDescent="0.25">
      <c r="A24" s="43" t="s">
        <v>213</v>
      </c>
      <c r="B24" s="43"/>
      <c r="C24" s="43"/>
      <c r="D24" s="43"/>
      <c r="E24" t="s">
        <v>216</v>
      </c>
      <c r="F24" t="s">
        <v>216</v>
      </c>
      <c r="G24" s="42"/>
      <c r="H24" s="45" t="s">
        <v>219</v>
      </c>
      <c r="I24" s="44"/>
    </row>
    <row r="25" spans="1:9" x14ac:dyDescent="0.25">
      <c r="A25" s="43" t="s">
        <v>214</v>
      </c>
      <c r="B25" s="43"/>
      <c r="C25" s="43"/>
      <c r="D25" s="43"/>
      <c r="E25" s="43" t="s">
        <v>223</v>
      </c>
      <c r="F25" s="43" t="s">
        <v>222</v>
      </c>
      <c r="G25" s="42"/>
      <c r="H25" s="45" t="s">
        <v>220</v>
      </c>
      <c r="I25" s="44"/>
    </row>
    <row r="26" spans="1:9" x14ac:dyDescent="0.25">
      <c r="A26" s="43"/>
      <c r="B26" s="43"/>
      <c r="C26" s="43"/>
      <c r="D26" s="43"/>
      <c r="E26" s="47" t="s">
        <v>51</v>
      </c>
      <c r="F26" s="47"/>
      <c r="G26" s="48" t="s">
        <v>22</v>
      </c>
      <c r="H26" s="45" t="s">
        <v>225</v>
      </c>
      <c r="I26" s="44"/>
    </row>
    <row r="27" spans="1:9" x14ac:dyDescent="0.25">
      <c r="A27" s="43"/>
      <c r="B27" s="43"/>
      <c r="C27" s="43"/>
      <c r="D27" s="43"/>
      <c r="E27" s="47" t="s">
        <v>51</v>
      </c>
      <c r="F27" s="47"/>
      <c r="G27" s="48"/>
      <c r="H27" s="45" t="s">
        <v>224</v>
      </c>
      <c r="I27" s="44"/>
    </row>
    <row r="28" spans="1:9" x14ac:dyDescent="0.25">
      <c r="A28" s="43"/>
      <c r="B28" s="43"/>
      <c r="C28" s="43"/>
      <c r="D28" s="43"/>
      <c r="E28" s="47" t="s">
        <v>51</v>
      </c>
      <c r="F28" s="47"/>
      <c r="G28" s="48" t="s">
        <v>23</v>
      </c>
      <c r="H28" s="45" t="s">
        <v>226</v>
      </c>
      <c r="I28" s="44"/>
    </row>
    <row r="29" spans="1:9" x14ac:dyDescent="0.25">
      <c r="A29" s="43"/>
      <c r="B29" s="43"/>
      <c r="C29" s="43"/>
      <c r="D29" s="43"/>
      <c r="E29" s="47" t="s">
        <v>51</v>
      </c>
      <c r="F29" s="47"/>
      <c r="G29" s="48"/>
      <c r="H29" s="45" t="s">
        <v>224</v>
      </c>
      <c r="I29" s="44"/>
    </row>
    <row r="30" spans="1:9" x14ac:dyDescent="0.25">
      <c r="A30" s="43"/>
      <c r="B30" s="43"/>
      <c r="C30" s="43"/>
      <c r="D30" s="43"/>
      <c r="E30" s="47" t="s">
        <v>217</v>
      </c>
      <c r="F30" s="47"/>
      <c r="G30" s="44"/>
      <c r="H30" s="45" t="s">
        <v>221</v>
      </c>
      <c r="I30" s="44"/>
    </row>
    <row r="31" spans="1:9" x14ac:dyDescent="0.25">
      <c r="A31" s="43"/>
      <c r="B31" s="43"/>
      <c r="C31" s="43"/>
      <c r="D31" s="43"/>
      <c r="E31" s="47"/>
      <c r="F31" s="47"/>
      <c r="G31" s="44"/>
      <c r="H31" s="45"/>
      <c r="I31" s="44"/>
    </row>
    <row r="32" spans="1:9" x14ac:dyDescent="0.25">
      <c r="A32" s="43"/>
      <c r="B32" s="43"/>
      <c r="C32" s="43"/>
      <c r="D32" s="43"/>
      <c r="E32" s="43" t="s">
        <v>211</v>
      </c>
      <c r="F32" s="43" t="s">
        <v>211</v>
      </c>
      <c r="G32" s="44"/>
      <c r="H32" s="45"/>
      <c r="I32" s="44"/>
    </row>
    <row r="33" spans="1:9" x14ac:dyDescent="0.25">
      <c r="A33" s="43"/>
      <c r="B33" s="43"/>
      <c r="C33" s="43"/>
      <c r="D33" s="43"/>
      <c r="E33" s="43"/>
      <c r="F33" s="43"/>
      <c r="G33" s="44"/>
      <c r="H33" s="45"/>
      <c r="I33" s="44"/>
    </row>
    <row r="34" spans="1:9" x14ac:dyDescent="0.25">
      <c r="A34" s="30"/>
      <c r="B34" s="30"/>
      <c r="C34" s="30"/>
      <c r="D34" s="30"/>
      <c r="E34" s="46"/>
      <c r="F34" s="46"/>
    </row>
    <row r="35" spans="1:9" x14ac:dyDescent="0.25">
      <c r="A35" s="30"/>
      <c r="B35" s="30"/>
      <c r="C35" s="30"/>
      <c r="D35" s="30"/>
      <c r="E35" s="46" t="s">
        <v>209</v>
      </c>
      <c r="F35" s="46"/>
    </row>
    <row r="36" spans="1:9" x14ac:dyDescent="0.25">
      <c r="A36" s="1" t="s">
        <v>165</v>
      </c>
      <c r="B36" s="1"/>
      <c r="C36" s="1"/>
      <c r="D36" s="1" t="s">
        <v>208</v>
      </c>
      <c r="E36" s="46" t="s">
        <v>210</v>
      </c>
      <c r="F36" s="44"/>
    </row>
    <row r="37" spans="1:9" x14ac:dyDescent="0.25">
      <c r="D37" t="s">
        <v>207</v>
      </c>
      <c r="E37" t="str">
        <f>CONCATENATE("[",B41,C41,D41,E41,B42,C42,D42,B43,C43,D43,B44,C44,D44,E44,D45,E45,E46,E47,"]*?")</f>
        <v>[А-Я\Ёа-я\ёA-Za-z\d\n\r\s\.\,\:\;\=\/\~\'\"\_\\\#\(\)\{\}\&lt;\&gt;\[\]\«\»\?\№\¶\|\–\!\&amp;\%\$\@\^\*\+\-\µ\ø\°\⁰\¹\²\³\½\¼\¾\®\©\™\±\≠\≤\≥\÷\×\∞\α\β\π\Ω\∑\€\£\¥\¡\¢\¤\¦\§\¨\ª\¬\¯\´\¶\·\¸\º\¿\×\Ø\ß\Þ\æ\`\~]*?</v>
      </c>
    </row>
    <row r="38" spans="1:9" s="32" customFormat="1" x14ac:dyDescent="0.25">
      <c r="A38" s="32" t="s">
        <v>144</v>
      </c>
      <c r="E38" s="32" t="str">
        <f>E1&amp;E2&amp;E3&amp;E4&amp;E5&amp;E6&amp;E7&amp;E8&amp;E9&amp;E10&amp;E11&amp;E12&amp;E13&amp;E14&amp;E15&amp;E16&amp;E17&amp;E18&amp;E19&amp;E20&amp;E21&amp;E22&amp;E23&amp;E24&amp;E25&amp;E26&amp;E27&amp;E28&amp;E29&amp;E30&amp;E31&amp;E32</f>
        <v>\,*\r*\n*\{(\d{14}),(\w),\r*\n\{([0-9a-f]+),([0-9a-f]+)\},(\d+),(\d+),(\d+),(\d+),(\d+),(\w),"([^ꡏ]*?)(?=",\d+,\r*\n)",(\d+),\r*\n\{([^ꡏ]*?)(?=\},")\},"([^ꡏ]*?)(?=",\d+)",(\d+),(\d+),(\d+),(\d+),\d+[,\d+]*,\r*\n\{((\d+)|\d+,(\d+),(\d+),(\d+),(\d+))\}\r*\n\},*\r*\n*</v>
      </c>
      <c r="H38" s="33"/>
    </row>
    <row r="39" spans="1:9" s="32" customFormat="1" x14ac:dyDescent="0.25">
      <c r="A39" s="32" t="s">
        <v>180</v>
      </c>
      <c r="E39" s="32" t="e">
        <f>F1&amp;F2&amp;F3&amp;F4&amp;F5&amp;F6&amp;F7&amp;F8&amp;F9&amp;F10&amp;F11&amp;F12&amp;F13&amp;F14&amp;F15&amp;F16&amp;F17&amp;F18&amp;F19&amp;F20&amp;F21&amp;F22&amp;F23&amp;F24&amp;F25&amp;#REF!&amp;F32</f>
        <v>#REF!</v>
      </c>
      <c r="H39" s="33"/>
    </row>
    <row r="41" spans="1:9" s="2" customFormat="1" x14ac:dyDescent="0.25">
      <c r="A41" s="2" t="s">
        <v>188</v>
      </c>
      <c r="B41" s="2" t="s">
        <v>189</v>
      </c>
      <c r="C41" s="2" t="s">
        <v>193</v>
      </c>
      <c r="D41" s="2" t="s">
        <v>191</v>
      </c>
      <c r="E41" s="2" t="s">
        <v>194</v>
      </c>
      <c r="H41" s="3"/>
    </row>
    <row r="42" spans="1:9" s="2" customFormat="1" x14ac:dyDescent="0.25">
      <c r="B42" s="2" t="s">
        <v>190</v>
      </c>
      <c r="C42" s="36" t="s">
        <v>192</v>
      </c>
      <c r="D42" s="36" t="s">
        <v>195</v>
      </c>
      <c r="H42" s="3"/>
    </row>
    <row r="43" spans="1:9" x14ac:dyDescent="0.25">
      <c r="A43" s="40"/>
      <c r="B43" s="40" t="s">
        <v>196</v>
      </c>
      <c r="C43" s="40" t="s">
        <v>197</v>
      </c>
      <c r="D43" s="40" t="s">
        <v>198</v>
      </c>
      <c r="E43" s="40"/>
      <c r="F43" s="40"/>
      <c r="G43" s="40"/>
      <c r="H43" s="41"/>
      <c r="I43" s="40"/>
    </row>
    <row r="44" spans="1:9" s="34" customFormat="1" x14ac:dyDescent="0.25">
      <c r="A44" s="36"/>
      <c r="B44" s="36" t="s">
        <v>199</v>
      </c>
      <c r="C44" s="34" t="s">
        <v>200</v>
      </c>
      <c r="D44" s="36" t="s">
        <v>201</v>
      </c>
      <c r="E44" s="36" t="s">
        <v>203</v>
      </c>
      <c r="F44" s="37"/>
      <c r="G44" s="36"/>
      <c r="H44" s="38"/>
      <c r="I44" s="36"/>
    </row>
    <row r="45" spans="1:9" s="34" customFormat="1" x14ac:dyDescent="0.25">
      <c r="A45" s="36"/>
      <c r="B45" s="36"/>
      <c r="C45" s="36"/>
      <c r="D45" s="36" t="s">
        <v>202</v>
      </c>
      <c r="E45" s="39" t="s">
        <v>204</v>
      </c>
      <c r="F45" s="39"/>
      <c r="G45" s="36"/>
      <c r="H45" s="38"/>
      <c r="I45" s="36"/>
    </row>
    <row r="46" spans="1:9" x14ac:dyDescent="0.25">
      <c r="E46" s="42" t="s">
        <v>205</v>
      </c>
    </row>
    <row r="47" spans="1:9" x14ac:dyDescent="0.25">
      <c r="E47" s="42" t="s">
        <v>206</v>
      </c>
    </row>
  </sheetData>
  <mergeCells count="2">
    <mergeCell ref="G26:G27"/>
    <mergeCell ref="G28:G2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12" sqref="B12"/>
    </sheetView>
  </sheetViews>
  <sheetFormatPr defaultRowHeight="15" x14ac:dyDescent="0.25"/>
  <cols>
    <col min="1" max="1" width="24.5703125" customWidth="1"/>
    <col min="2" max="2" width="104.42578125" customWidth="1"/>
    <col min="4" max="4" width="117.28515625" style="1" customWidth="1"/>
    <col min="5" max="5" width="12.42578125" bestFit="1" customWidth="1"/>
  </cols>
  <sheetData>
    <row r="1" spans="1:5" x14ac:dyDescent="0.25">
      <c r="A1" s="2"/>
      <c r="B1" s="2"/>
      <c r="C1" s="2"/>
      <c r="D1" s="3"/>
      <c r="E1" s="2" t="s">
        <v>42</v>
      </c>
    </row>
    <row r="2" spans="1:5" x14ac:dyDescent="0.25">
      <c r="A2" s="4" t="s">
        <v>147</v>
      </c>
      <c r="B2" s="4" t="s">
        <v>48</v>
      </c>
      <c r="C2" s="4" t="s">
        <v>5</v>
      </c>
      <c r="D2" s="5" t="s">
        <v>24</v>
      </c>
      <c r="E2" s="4" t="s">
        <v>43</v>
      </c>
    </row>
    <row r="3" spans="1:5" ht="30" x14ac:dyDescent="0.25">
      <c r="A3" s="4" t="s">
        <v>148</v>
      </c>
      <c r="B3" s="4" t="s">
        <v>49</v>
      </c>
      <c r="C3" s="4" t="s">
        <v>6</v>
      </c>
      <c r="D3" s="5" t="s">
        <v>25</v>
      </c>
      <c r="E3" s="4" t="s">
        <v>43</v>
      </c>
    </row>
    <row r="4" spans="1:5" ht="30" x14ac:dyDescent="0.25">
      <c r="A4" s="5" t="s">
        <v>149</v>
      </c>
      <c r="B4" s="5" t="s">
        <v>50</v>
      </c>
      <c r="C4" s="4" t="s">
        <v>7</v>
      </c>
      <c r="D4" s="5" t="s">
        <v>26</v>
      </c>
      <c r="E4" s="4" t="s">
        <v>43</v>
      </c>
    </row>
    <row r="5" spans="1:5" x14ac:dyDescent="0.25">
      <c r="A5" s="20" t="s">
        <v>150</v>
      </c>
      <c r="B5" s="20" t="s">
        <v>51</v>
      </c>
      <c r="C5" s="6" t="s">
        <v>8</v>
      </c>
      <c r="D5" s="7" t="s">
        <v>27</v>
      </c>
      <c r="E5" s="6" t="s">
        <v>44</v>
      </c>
    </row>
    <row r="6" spans="1:5" x14ac:dyDescent="0.25">
      <c r="A6" s="8" t="s">
        <v>151</v>
      </c>
      <c r="B6" s="8" t="s">
        <v>51</v>
      </c>
      <c r="C6" s="4" t="s">
        <v>9</v>
      </c>
      <c r="D6" s="5" t="s">
        <v>28</v>
      </c>
      <c r="E6" s="4" t="s">
        <v>43</v>
      </c>
    </row>
    <row r="7" spans="1:5" x14ac:dyDescent="0.25">
      <c r="A7" s="21" t="s">
        <v>152</v>
      </c>
      <c r="B7" s="21" t="s">
        <v>51</v>
      </c>
      <c r="C7" s="10" t="s">
        <v>12</v>
      </c>
      <c r="D7" s="11" t="s">
        <v>29</v>
      </c>
      <c r="E7" s="10" t="s">
        <v>45</v>
      </c>
    </row>
    <row r="8" spans="1:5" x14ac:dyDescent="0.25">
      <c r="A8" s="22" t="s">
        <v>153</v>
      </c>
      <c r="B8" s="22" t="s">
        <v>51</v>
      </c>
      <c r="C8" s="13" t="s">
        <v>10</v>
      </c>
      <c r="D8" s="14" t="s">
        <v>30</v>
      </c>
      <c r="E8" s="13" t="s">
        <v>46</v>
      </c>
    </row>
    <row r="9" spans="1:5" x14ac:dyDescent="0.25">
      <c r="A9" s="8" t="s">
        <v>3</v>
      </c>
      <c r="B9" s="8" t="s">
        <v>51</v>
      </c>
      <c r="C9" s="4" t="s">
        <v>13</v>
      </c>
      <c r="D9" s="5" t="s">
        <v>31</v>
      </c>
      <c r="E9" s="4" t="s">
        <v>43</v>
      </c>
    </row>
    <row r="10" spans="1:5" ht="30" x14ac:dyDescent="0.25">
      <c r="A10" s="8" t="s">
        <v>1</v>
      </c>
      <c r="B10" s="8" t="s">
        <v>49</v>
      </c>
      <c r="C10" s="4" t="s">
        <v>11</v>
      </c>
      <c r="D10" s="5" t="s">
        <v>32</v>
      </c>
      <c r="E10" s="4" t="s">
        <v>43</v>
      </c>
    </row>
    <row r="11" spans="1:5" x14ac:dyDescent="0.25">
      <c r="A11" s="8"/>
      <c r="B11" s="8"/>
      <c r="C11" s="4"/>
      <c r="D11" s="5"/>
      <c r="E11" s="4"/>
    </row>
    <row r="12" spans="1:5" x14ac:dyDescent="0.25">
      <c r="A12" s="15" t="s">
        <v>2</v>
      </c>
      <c r="B12" s="23" t="str">
        <f>CONCATENATE(",",CHAR(34),"(",B24,")","?",CHAR(34))</f>
        <v>,"([А-ЯA-Zа-яa-z\Ё\ё\d\n\r\s\.\,\:\;\(\)\&lt;\&gt;\[\]\«\»\=\/\~\'\"\_\\\#\!\&amp;\%\$\@\#\^\*\+\-\?\№]*)?"</v>
      </c>
      <c r="C12" s="16" t="s">
        <v>14</v>
      </c>
      <c r="D12" s="17" t="s">
        <v>33</v>
      </c>
      <c r="E12" s="16" t="s">
        <v>47</v>
      </c>
    </row>
    <row r="13" spans="1:5" x14ac:dyDescent="0.25">
      <c r="A13" s="9" t="s">
        <v>0</v>
      </c>
      <c r="B13" s="21" t="s">
        <v>51</v>
      </c>
      <c r="C13" s="10" t="s">
        <v>15</v>
      </c>
      <c r="D13" s="11" t="s">
        <v>34</v>
      </c>
      <c r="E13" s="10" t="s">
        <v>45</v>
      </c>
    </row>
    <row r="14" spans="1:5" ht="90" x14ac:dyDescent="0.25">
      <c r="A14" s="31" t="s">
        <v>154</v>
      </c>
      <c r="B14" s="23" t="str">
        <f>CONCATENATE(",","\s*\r*\n\{","(",B25,")","?","\}")</f>
        <v>,\s*\r*\n\{([А-ЯA-Zа-яa-z\Ё\ё\d\n\r\s\.\,\:\;\(\)\{\}\&lt;\&gt;\[\]\«\»\=\/\~\'\"\_\\\#\!\&amp;\%\$\@\#\^\*\+\-\?\№]*)?\}</v>
      </c>
      <c r="C14" s="16" t="s">
        <v>16</v>
      </c>
      <c r="D14" s="17" t="s">
        <v>35</v>
      </c>
      <c r="E14" s="16" t="s">
        <v>47</v>
      </c>
    </row>
    <row r="15" spans="1:5" x14ac:dyDescent="0.25">
      <c r="A15" s="4" t="s">
        <v>2</v>
      </c>
      <c r="B15" s="4" t="s">
        <v>54</v>
      </c>
      <c r="C15" s="4" t="s">
        <v>17</v>
      </c>
      <c r="D15" s="5" t="s">
        <v>36</v>
      </c>
      <c r="E15" s="4" t="s">
        <v>43</v>
      </c>
    </row>
    <row r="16" spans="1:5" x14ac:dyDescent="0.25">
      <c r="A16" s="8" t="s">
        <v>155</v>
      </c>
      <c r="B16" s="8" t="s">
        <v>51</v>
      </c>
      <c r="C16" s="4" t="s">
        <v>18</v>
      </c>
      <c r="D16" s="5" t="s">
        <v>37</v>
      </c>
      <c r="E16" s="4" t="s">
        <v>43</v>
      </c>
    </row>
    <row r="17" spans="1:5" x14ac:dyDescent="0.25">
      <c r="A17" s="22" t="s">
        <v>156</v>
      </c>
      <c r="B17" s="22" t="s">
        <v>51</v>
      </c>
      <c r="C17" s="13" t="s">
        <v>19</v>
      </c>
      <c r="D17" s="14" t="s">
        <v>38</v>
      </c>
      <c r="E17" s="13" t="s">
        <v>46</v>
      </c>
    </row>
    <row r="18" spans="1:5" x14ac:dyDescent="0.25">
      <c r="A18" s="12" t="s">
        <v>0</v>
      </c>
      <c r="B18" s="22" t="s">
        <v>51</v>
      </c>
      <c r="C18" s="13" t="s">
        <v>20</v>
      </c>
      <c r="D18" s="14" t="s">
        <v>39</v>
      </c>
      <c r="E18" s="13" t="s">
        <v>46</v>
      </c>
    </row>
    <row r="19" spans="1:5" x14ac:dyDescent="0.25">
      <c r="A19" s="22" t="s">
        <v>157</v>
      </c>
      <c r="B19" s="22" t="s">
        <v>51</v>
      </c>
      <c r="C19" s="13" t="s">
        <v>21</v>
      </c>
      <c r="D19" s="14" t="s">
        <v>40</v>
      </c>
      <c r="E19" s="13" t="s">
        <v>46</v>
      </c>
    </row>
    <row r="20" spans="1:5" x14ac:dyDescent="0.25">
      <c r="A20" s="18" t="s">
        <v>152</v>
      </c>
      <c r="B20" s="18" t="s">
        <v>52</v>
      </c>
      <c r="C20" s="2" t="s">
        <v>22</v>
      </c>
      <c r="D20" s="3" t="s">
        <v>41</v>
      </c>
      <c r="E20" s="2"/>
    </row>
    <row r="21" spans="1:5" x14ac:dyDescent="0.25">
      <c r="A21" s="18" t="s">
        <v>158</v>
      </c>
      <c r="B21" s="18" t="s">
        <v>159</v>
      </c>
      <c r="C21" s="2"/>
      <c r="D21" s="3" t="s">
        <v>160</v>
      </c>
      <c r="E21" s="2"/>
    </row>
    <row r="22" spans="1:5" ht="30" x14ac:dyDescent="0.25">
      <c r="A22" s="19" t="s">
        <v>4</v>
      </c>
      <c r="B22" s="19" t="s">
        <v>53</v>
      </c>
      <c r="C22" s="2" t="s">
        <v>23</v>
      </c>
      <c r="D22" s="3"/>
      <c r="E22" s="2"/>
    </row>
    <row r="23" spans="1:5" x14ac:dyDescent="0.25">
      <c r="A23" s="30"/>
      <c r="B23" s="30"/>
    </row>
    <row r="24" spans="1:5" x14ac:dyDescent="0.25">
      <c r="A24" s="30" t="s">
        <v>164</v>
      </c>
      <c r="B24" t="s">
        <v>162</v>
      </c>
    </row>
    <row r="25" spans="1:5" x14ac:dyDescent="0.25">
      <c r="A25" t="s">
        <v>163</v>
      </c>
      <c r="B25" t="s">
        <v>161</v>
      </c>
    </row>
    <row r="27" spans="1:5" x14ac:dyDescent="0.25">
      <c r="A27" s="29" t="s">
        <v>144</v>
      </c>
      <c r="B27" t="str">
        <f>B2&amp;B3&amp;B4&amp;B5&amp;B6&amp;B7&amp;B8&amp;B9&amp;B10&amp;B12&amp;B13&amp;B14&amp;B15&amp;B16&amp;B17&amp;B18&amp;B19&amp;B20&amp;B21&amp;B22</f>
        <v>\{(\d{14}),(\w),\s*\r*\n\{([0-9abcdef]+,[0-9abcdef]+)\},(\d+),(\d+),(\d+),(\d+),(\d+),(\w),"([А-ЯA-Zа-яa-z\Ё\ё\d\n\r\s\.\,\:\;\(\)\&lt;\&gt;\[\]\«\»\=\/\~\'\"\_\\\#\!\&amp;\%\$\@\#\^\*\+\-\?\№]*)?",(\d+),\s*\r*\n\{([А-ЯA-Zа-яa-z\Ё\ё\d\n\r\s\.\,\:\;\(\)\{\}\&lt;\&gt;\[\]\«\»\=\/\~\'\"\_\\\#\!\&amp;\%\$\@\#\^\*\+\-\?\№]*)?\},"(.*?)",(\d+),(\d+),(\d+),(\d+),\d+[,\d+]*,\s*\r*\n\{[\d,*]+\}\s*\r*\n\},*\r*\n*</v>
      </c>
    </row>
    <row r="33" spans="1:2" x14ac:dyDescent="0.25">
      <c r="A33" t="s">
        <v>145</v>
      </c>
      <c r="B33" s="23" t="s">
        <v>142</v>
      </c>
    </row>
    <row r="34" spans="1:2" x14ac:dyDescent="0.25">
      <c r="A34" t="s">
        <v>146</v>
      </c>
      <c r="B34" s="24" t="s">
        <v>143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3"/>
  <sheetViews>
    <sheetView workbookViewId="0">
      <selection activeCell="C2" sqref="C2"/>
    </sheetView>
  </sheetViews>
  <sheetFormatPr defaultRowHeight="15" x14ac:dyDescent="0.25"/>
  <cols>
    <col min="2" max="2" width="24" bestFit="1" customWidth="1"/>
    <col min="3" max="3" width="144.5703125" bestFit="1" customWidth="1"/>
  </cols>
  <sheetData>
    <row r="1" spans="2:3" x14ac:dyDescent="0.25">
      <c r="B1" s="28" t="s">
        <v>57</v>
      </c>
      <c r="C1" s="28" t="s">
        <v>58</v>
      </c>
    </row>
    <row r="2" spans="2:3" x14ac:dyDescent="0.25">
      <c r="B2" t="s">
        <v>55</v>
      </c>
      <c r="C2" s="25" t="s">
        <v>79</v>
      </c>
    </row>
    <row r="3" spans="2:3" x14ac:dyDescent="0.25">
      <c r="B3" t="s">
        <v>56</v>
      </c>
      <c r="C3" s="25" t="s">
        <v>80</v>
      </c>
    </row>
    <row r="4" spans="2:3" x14ac:dyDescent="0.25">
      <c r="B4" t="s">
        <v>59</v>
      </c>
      <c r="C4" t="s">
        <v>60</v>
      </c>
    </row>
    <row r="5" spans="2:3" x14ac:dyDescent="0.25">
      <c r="B5" t="s">
        <v>61</v>
      </c>
      <c r="C5" t="s">
        <v>62</v>
      </c>
    </row>
    <row r="6" spans="2:3" x14ac:dyDescent="0.25">
      <c r="B6" t="s">
        <v>63</v>
      </c>
      <c r="C6" t="s">
        <v>78</v>
      </c>
    </row>
    <row r="7" spans="2:3" x14ac:dyDescent="0.25">
      <c r="B7" t="s">
        <v>64</v>
      </c>
      <c r="C7" t="s">
        <v>77</v>
      </c>
    </row>
    <row r="8" spans="2:3" x14ac:dyDescent="0.25">
      <c r="B8" t="s">
        <v>65</v>
      </c>
      <c r="C8" t="s">
        <v>76</v>
      </c>
    </row>
    <row r="9" spans="2:3" x14ac:dyDescent="0.25">
      <c r="B9" t="s">
        <v>66</v>
      </c>
      <c r="C9" t="s">
        <v>75</v>
      </c>
    </row>
    <row r="10" spans="2:3" x14ac:dyDescent="0.25">
      <c r="B10" t="s">
        <v>67</v>
      </c>
      <c r="C10" t="s">
        <v>74</v>
      </c>
    </row>
    <row r="11" spans="2:3" x14ac:dyDescent="0.25">
      <c r="B11" t="s">
        <v>68</v>
      </c>
      <c r="C11" t="s">
        <v>73</v>
      </c>
    </row>
    <row r="12" spans="2:3" x14ac:dyDescent="0.25">
      <c r="B12" t="s">
        <v>69</v>
      </c>
      <c r="C12" t="s">
        <v>72</v>
      </c>
    </row>
    <row r="13" spans="2:3" x14ac:dyDescent="0.25">
      <c r="B13" t="s">
        <v>70</v>
      </c>
      <c r="C13" t="s">
        <v>71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F26" sqref="F26"/>
    </sheetView>
  </sheetViews>
  <sheetFormatPr defaultRowHeight="15" x14ac:dyDescent="0.25"/>
  <cols>
    <col min="1" max="1" width="14.7109375" bestFit="1" customWidth="1"/>
    <col min="2" max="2" width="37.42578125" bestFit="1" customWidth="1"/>
    <col min="3" max="3" width="2" bestFit="1" customWidth="1"/>
    <col min="4" max="4" width="72.7109375" bestFit="1" customWidth="1"/>
    <col min="5" max="5" width="4.42578125" bestFit="1" customWidth="1"/>
    <col min="6" max="6" width="126.85546875" bestFit="1" customWidth="1"/>
  </cols>
  <sheetData>
    <row r="1" spans="1:6" x14ac:dyDescent="0.25">
      <c r="A1" t="s">
        <v>139</v>
      </c>
      <c r="B1" t="s">
        <v>82</v>
      </c>
      <c r="C1" s="26" t="s">
        <v>140</v>
      </c>
      <c r="D1" t="s">
        <v>81</v>
      </c>
      <c r="E1" s="27" t="s">
        <v>141</v>
      </c>
      <c r="F1" t="str">
        <f>CONCATENATE(A1,D1,C1,B1,E1)</f>
        <v>actions_1c.set('_$Data$_.New','Данные. Добавление');</v>
      </c>
    </row>
    <row r="2" spans="1:6" x14ac:dyDescent="0.25">
      <c r="A2" t="s">
        <v>139</v>
      </c>
      <c r="B2" t="s">
        <v>84</v>
      </c>
      <c r="C2" s="26" t="s">
        <v>140</v>
      </c>
      <c r="D2" t="s">
        <v>83</v>
      </c>
      <c r="E2" s="27" t="s">
        <v>141</v>
      </c>
      <c r="F2" t="str">
        <f t="shared" ref="F2:F29" si="0">CONCATENATE(A2,D2,C2,B2,E2)</f>
        <v>actions_1c.set('_$Data$_.Update','Данные. Изменение');</v>
      </c>
    </row>
    <row r="3" spans="1:6" x14ac:dyDescent="0.25">
      <c r="A3" t="s">
        <v>139</v>
      </c>
      <c r="B3" t="s">
        <v>86</v>
      </c>
      <c r="C3" s="26" t="s">
        <v>140</v>
      </c>
      <c r="D3" t="s">
        <v>85</v>
      </c>
      <c r="E3" s="27" t="s">
        <v>141</v>
      </c>
      <c r="F3" t="str">
        <f t="shared" si="0"/>
        <v>actions_1c.set('_$Data$_.TotalsMaxPeriodUpdate','Данные. Изменение максимального периода рассчитанных итогов');</v>
      </c>
    </row>
    <row r="4" spans="1:6" x14ac:dyDescent="0.25">
      <c r="A4" t="s">
        <v>139</v>
      </c>
      <c r="B4" t="s">
        <v>88</v>
      </c>
      <c r="C4" s="26" t="s">
        <v>140</v>
      </c>
      <c r="D4" t="s">
        <v>87</v>
      </c>
      <c r="E4" s="27" t="s">
        <v>141</v>
      </c>
      <c r="F4" t="str">
        <f t="shared" si="0"/>
        <v>actions_1c.set('_$Data$_.PredefinedDataInitialization','Данные. Инициализация предопределенных данных');</v>
      </c>
    </row>
    <row r="5" spans="1:6" x14ac:dyDescent="0.25">
      <c r="A5" t="s">
        <v>139</v>
      </c>
      <c r="B5" t="s">
        <v>90</v>
      </c>
      <c r="C5" s="26" t="s">
        <v>140</v>
      </c>
      <c r="D5" t="s">
        <v>89</v>
      </c>
      <c r="E5" s="27" t="s">
        <v>141</v>
      </c>
      <c r="F5" t="str">
        <f t="shared" si="0"/>
        <v>actions_1c.set('_$Data$_.Unpost','Данные. Отмена проведения');</v>
      </c>
    </row>
    <row r="6" spans="1:6" x14ac:dyDescent="0.25">
      <c r="A6" t="s">
        <v>139</v>
      </c>
      <c r="B6" t="s">
        <v>92</v>
      </c>
      <c r="C6" s="26" t="s">
        <v>140</v>
      </c>
      <c r="D6" t="s">
        <v>91</v>
      </c>
      <c r="E6" s="27" t="s">
        <v>141</v>
      </c>
      <c r="F6" t="str">
        <f t="shared" si="0"/>
        <v>actions_1c.set('_$Data$_.Post','Данные. Проведение');</v>
      </c>
    </row>
    <row r="7" spans="1:6" x14ac:dyDescent="0.25">
      <c r="A7" t="s">
        <v>139</v>
      </c>
      <c r="B7" t="s">
        <v>94</v>
      </c>
      <c r="C7" s="26" t="s">
        <v>140</v>
      </c>
      <c r="D7" t="s">
        <v>93</v>
      </c>
      <c r="E7" s="27" t="s">
        <v>141</v>
      </c>
      <c r="F7" t="str">
        <f t="shared" si="0"/>
        <v>actions_1c.set('_$Data$_.Delete','Данные. Удаление');</v>
      </c>
    </row>
    <row r="8" spans="1:6" x14ac:dyDescent="0.25">
      <c r="A8" t="s">
        <v>139</v>
      </c>
      <c r="B8" t="s">
        <v>96</v>
      </c>
      <c r="C8" s="26" t="s">
        <v>140</v>
      </c>
      <c r="D8" t="s">
        <v>95</v>
      </c>
      <c r="E8" s="27" t="s">
        <v>141</v>
      </c>
      <c r="F8" t="str">
        <f t="shared" si="0"/>
        <v>actions_1c.set('_$Access$_.AccessDenied','Доступ. Отказ в доступе');</v>
      </c>
    </row>
    <row r="9" spans="1:6" x14ac:dyDescent="0.25">
      <c r="A9" t="s">
        <v>139</v>
      </c>
      <c r="B9" t="s">
        <v>98</v>
      </c>
      <c r="C9" s="26" t="s">
        <v>140</v>
      </c>
      <c r="D9" t="s">
        <v>97</v>
      </c>
      <c r="E9" s="27" t="s">
        <v>141</v>
      </c>
      <c r="F9" t="str">
        <f t="shared" si="0"/>
        <v>actions_1c.set('_$InfoBase$_.ConfigUpdate','Информационная база. Изменение конфигурации');</v>
      </c>
    </row>
    <row r="10" spans="1:6" x14ac:dyDescent="0.25">
      <c r="A10" t="s">
        <v>139</v>
      </c>
      <c r="B10" t="s">
        <v>100</v>
      </c>
      <c r="C10" s="26" t="s">
        <v>140</v>
      </c>
      <c r="D10" t="s">
        <v>99</v>
      </c>
      <c r="E10" s="27" t="s">
        <v>141</v>
      </c>
      <c r="F10" t="str">
        <f t="shared" si="0"/>
        <v>actions_1c.set('_$InfoBase$_.DBConfigUpdate','Информационная база. Изменение конфигурации базы данных');</v>
      </c>
    </row>
    <row r="11" spans="1:6" x14ac:dyDescent="0.25">
      <c r="A11" t="s">
        <v>139</v>
      </c>
      <c r="B11" t="s">
        <v>102</v>
      </c>
      <c r="C11" s="26" t="s">
        <v>140</v>
      </c>
      <c r="D11" t="s">
        <v>101</v>
      </c>
      <c r="E11" s="27" t="s">
        <v>141</v>
      </c>
      <c r="F11" t="str">
        <f t="shared" si="0"/>
        <v>actions_1c.set('_$InfoBase$_.EventLogSettingsUpdate','Информационная база. Изменение параметров журнала регистрации');</v>
      </c>
    </row>
    <row r="12" spans="1:6" x14ac:dyDescent="0.25">
      <c r="A12" t="s">
        <v>139</v>
      </c>
      <c r="B12" t="s">
        <v>104</v>
      </c>
      <c r="C12" s="26" t="s">
        <v>140</v>
      </c>
      <c r="D12" t="s">
        <v>103</v>
      </c>
      <c r="E12" s="27" t="s">
        <v>141</v>
      </c>
      <c r="F12" t="str">
        <f t="shared" si="0"/>
        <v>actions_1c.set('_$InfoBase$_.ConfigExtensionUpdate','Информационная база. Изменение расширения конфигурации');</v>
      </c>
    </row>
    <row r="13" spans="1:6" x14ac:dyDescent="0.25">
      <c r="A13" t="s">
        <v>139</v>
      </c>
      <c r="B13" t="s">
        <v>106</v>
      </c>
      <c r="C13" s="26" t="s">
        <v>140</v>
      </c>
      <c r="D13" t="s">
        <v>105</v>
      </c>
      <c r="E13" s="27" t="s">
        <v>141</v>
      </c>
      <c r="F13" t="str">
        <f t="shared" si="0"/>
        <v>actions_1c.set('_$InfoBase$_.DBConfigExtensionUpdate','Информационная база. Изменение расширения конфигурации базы данных');</v>
      </c>
    </row>
    <row r="14" spans="1:6" x14ac:dyDescent="0.25">
      <c r="A14" t="s">
        <v>139</v>
      </c>
      <c r="B14" t="s">
        <v>108</v>
      </c>
      <c r="C14" s="26" t="s">
        <v>140</v>
      </c>
      <c r="D14" t="s">
        <v>107</v>
      </c>
      <c r="E14" s="27" t="s">
        <v>141</v>
      </c>
      <c r="F14" t="str">
        <f t="shared" si="0"/>
        <v>actions_1c.set('_$PerformError$_','Ошибка выполнения');</v>
      </c>
    </row>
    <row r="15" spans="1:6" x14ac:dyDescent="0.25">
      <c r="A15" t="s">
        <v>139</v>
      </c>
      <c r="B15" t="s">
        <v>110</v>
      </c>
      <c r="C15" s="26" t="s">
        <v>140</v>
      </c>
      <c r="D15" t="s">
        <v>109</v>
      </c>
      <c r="E15" s="27" t="s">
        <v>141</v>
      </c>
      <c r="F15" t="str">
        <f t="shared" si="0"/>
        <v>actions_1c.set('_$User$_.New','Пользователи. Добавление');</v>
      </c>
    </row>
    <row r="16" spans="1:6" x14ac:dyDescent="0.25">
      <c r="A16" t="s">
        <v>139</v>
      </c>
      <c r="B16" t="s">
        <v>112</v>
      </c>
      <c r="C16" s="26" t="s">
        <v>140</v>
      </c>
      <c r="D16" t="s">
        <v>111</v>
      </c>
      <c r="E16" s="27" t="s">
        <v>141</v>
      </c>
      <c r="F16" t="str">
        <f t="shared" si="0"/>
        <v>actions_1c.set('_$User$_.Update','Пользователи. Изменение');</v>
      </c>
    </row>
    <row r="17" spans="1:6" x14ac:dyDescent="0.25">
      <c r="A17" t="s">
        <v>139</v>
      </c>
      <c r="B17" t="s">
        <v>114</v>
      </c>
      <c r="C17" s="26" t="s">
        <v>140</v>
      </c>
      <c r="D17" t="s">
        <v>113</v>
      </c>
      <c r="E17" s="27" t="s">
        <v>141</v>
      </c>
      <c r="F17" t="str">
        <f t="shared" si="0"/>
        <v>actions_1c.set('_$User$_.Delete','Пользователи. Удаление');</v>
      </c>
    </row>
    <row r="18" spans="1:6" x14ac:dyDescent="0.25">
      <c r="A18" t="s">
        <v>139</v>
      </c>
      <c r="B18" t="s">
        <v>116</v>
      </c>
      <c r="C18" s="26" t="s">
        <v>140</v>
      </c>
      <c r="D18" t="s">
        <v>115</v>
      </c>
      <c r="E18" s="27" t="s">
        <v>141</v>
      </c>
      <c r="F18" t="str">
        <f t="shared" si="0"/>
        <v>actions_1c.set('_$Session$_.Authentication','Сеанс. Аутентификация');</v>
      </c>
    </row>
    <row r="19" spans="1:6" x14ac:dyDescent="0.25">
      <c r="A19" t="s">
        <v>139</v>
      </c>
      <c r="B19" t="s">
        <v>118</v>
      </c>
      <c r="C19" s="26" t="s">
        <v>140</v>
      </c>
      <c r="D19" t="s">
        <v>117</v>
      </c>
      <c r="E19" s="27" t="s">
        <v>141</v>
      </c>
      <c r="F19" t="str">
        <f t="shared" si="0"/>
        <v>actions_1c.set('_$Session$_.Finish','Сеанс. Завершение');</v>
      </c>
    </row>
    <row r="20" spans="1:6" x14ac:dyDescent="0.25">
      <c r="A20" t="s">
        <v>139</v>
      </c>
      <c r="B20" t="s">
        <v>120</v>
      </c>
      <c r="C20" s="26" t="s">
        <v>140</v>
      </c>
      <c r="D20" t="s">
        <v>119</v>
      </c>
      <c r="E20" s="27" t="s">
        <v>141</v>
      </c>
      <c r="F20" t="str">
        <f t="shared" si="0"/>
        <v>actions_1c.set('_$Session$_.Start','Сеанс. Начало');</v>
      </c>
    </row>
    <row r="21" spans="1:6" x14ac:dyDescent="0.25">
      <c r="A21" t="s">
        <v>139</v>
      </c>
      <c r="B21" t="s">
        <v>122</v>
      </c>
      <c r="C21" s="26" t="s">
        <v>140</v>
      </c>
      <c r="D21" t="s">
        <v>121</v>
      </c>
      <c r="E21" s="27" t="s">
        <v>141</v>
      </c>
      <c r="F21" t="str">
        <f t="shared" si="0"/>
        <v>actions_1c.set('_$Session$_.AuthenticationError','Сеанс. Ошибка аутентификации');</v>
      </c>
    </row>
    <row r="22" spans="1:6" x14ac:dyDescent="0.25">
      <c r="A22" t="s">
        <v>139</v>
      </c>
      <c r="B22" t="s">
        <v>124</v>
      </c>
      <c r="C22" s="26" t="s">
        <v>140</v>
      </c>
      <c r="D22" t="s">
        <v>123</v>
      </c>
      <c r="E22" s="27" t="s">
        <v>141</v>
      </c>
      <c r="F22" t="str">
        <f t="shared" si="0"/>
        <v>actions_1c.set('_$Session$_.ConfigExtensionApplyError','Сеанс. Ошибка применения расширения конфигурации');</v>
      </c>
    </row>
    <row r="23" spans="1:6" x14ac:dyDescent="0.25">
      <c r="A23" t="s">
        <v>139</v>
      </c>
      <c r="B23" t="s">
        <v>126</v>
      </c>
      <c r="C23" s="26" t="s">
        <v>140</v>
      </c>
      <c r="D23" t="s">
        <v>125</v>
      </c>
      <c r="E23" s="27" t="s">
        <v>141</v>
      </c>
      <c r="F23" t="str">
        <f t="shared" si="0"/>
        <v>actions_1c.set('_$Transaction$_.Begin','Транзакция. Начало');</v>
      </c>
    </row>
    <row r="24" spans="1:6" x14ac:dyDescent="0.25">
      <c r="A24" t="s">
        <v>139</v>
      </c>
      <c r="B24" t="s">
        <v>128</v>
      </c>
      <c r="C24" s="26" t="s">
        <v>140</v>
      </c>
      <c r="D24" t="s">
        <v>127</v>
      </c>
      <c r="E24" s="27" t="s">
        <v>141</v>
      </c>
      <c r="F24" t="str">
        <f t="shared" si="0"/>
        <v>actions_1c.set('_$Transaction$_.Rollback','Транзакция. Отмена');</v>
      </c>
    </row>
    <row r="25" spans="1:6" x14ac:dyDescent="0.25">
      <c r="A25" t="s">
        <v>139</v>
      </c>
      <c r="B25" t="s">
        <v>130</v>
      </c>
      <c r="C25" s="26" t="s">
        <v>140</v>
      </c>
      <c r="D25" t="s">
        <v>129</v>
      </c>
      <c r="E25" s="27" t="s">
        <v>141</v>
      </c>
      <c r="F25" t="str">
        <f t="shared" si="0"/>
        <v>actions_1c.set('_$Transaction$_.Commit','Транзакция. Фиксация');</v>
      </c>
    </row>
    <row r="26" spans="1:6" x14ac:dyDescent="0.25">
      <c r="A26" t="s">
        <v>139</v>
      </c>
      <c r="B26" t="s">
        <v>132</v>
      </c>
      <c r="C26" s="26" t="s">
        <v>140</v>
      </c>
      <c r="D26" t="s">
        <v>131</v>
      </c>
      <c r="E26" s="27" t="s">
        <v>141</v>
      </c>
      <c r="F26" t="str">
        <f t="shared" si="0"/>
        <v>actions_1c.set('_$Job$_.Start','Фоновое задание. Запуск');</v>
      </c>
    </row>
    <row r="27" spans="1:6" x14ac:dyDescent="0.25">
      <c r="A27" t="s">
        <v>139</v>
      </c>
      <c r="B27" t="s">
        <v>134</v>
      </c>
      <c r="C27" s="26" t="s">
        <v>140</v>
      </c>
      <c r="D27" t="s">
        <v>133</v>
      </c>
      <c r="E27" s="27" t="s">
        <v>141</v>
      </c>
      <c r="F27" t="str">
        <f t="shared" si="0"/>
        <v>actions_1c.set('_$Job$_.Cancel','Фоновое задание. Отмена');</v>
      </c>
    </row>
    <row r="28" spans="1:6" x14ac:dyDescent="0.25">
      <c r="A28" t="s">
        <v>139</v>
      </c>
      <c r="B28" t="s">
        <v>136</v>
      </c>
      <c r="C28" s="26" t="s">
        <v>140</v>
      </c>
      <c r="D28" t="s">
        <v>135</v>
      </c>
      <c r="E28" s="27" t="s">
        <v>141</v>
      </c>
      <c r="F28" t="str">
        <f t="shared" si="0"/>
        <v>actions_1c.set('_$Job$_.Fail','Фоновое задание. Ошибка выполнения');</v>
      </c>
    </row>
    <row r="29" spans="1:6" x14ac:dyDescent="0.25">
      <c r="A29" t="s">
        <v>139</v>
      </c>
      <c r="B29" t="s">
        <v>138</v>
      </c>
      <c r="C29" s="26" t="s">
        <v>140</v>
      </c>
      <c r="D29" t="s">
        <v>137</v>
      </c>
      <c r="E29" s="27" t="s">
        <v>141</v>
      </c>
      <c r="F29" t="str">
        <f t="shared" si="0"/>
        <v>actions_1c.set('_$Job$_.Succeed','Фоновое задание. Успешное завершение');</v>
      </c>
    </row>
    <row r="31" spans="1:6" x14ac:dyDescent="0.25">
      <c r="B31" t="s">
        <v>187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Новый шаблон ЖР</vt:lpstr>
      <vt:lpstr>Старый шаблон ЖР</vt:lpstr>
      <vt:lpstr>Поля Отбора</vt:lpstr>
      <vt:lpstr>События и соответствие</vt:lpstr>
      <vt:lpstr>Клиенты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2018-03-09T14:37:44Z</dcterms:created>
  <dcterms:modified xsi:type="dcterms:W3CDTF">2020-05-22T15:27:20Z</dcterms:modified>
</cp:coreProperties>
</file>